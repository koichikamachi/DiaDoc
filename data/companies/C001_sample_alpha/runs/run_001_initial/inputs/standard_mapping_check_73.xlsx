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標準科目対応" sheetId="2" state="visible" r:id="rId2"/>
    <sheet xmlns:r="http://schemas.openxmlformats.org/officeDocument/2006/relationships" name="検算" sheetId="3" state="visible" r:id="rId3"/>
    <sheet xmlns:r="http://schemas.openxmlformats.org/officeDocument/2006/relationships" name="欠落と扱い" sheetId="4" state="visible" r:id="rId4"/>
  </sheets>
  <definedNames>
    <definedName name="_xlnm._FilterDatabase" localSheetId="1" hidden="1">'標準科目対応'!$A$1:$I$123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△#,##0;\-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000000"/>
      <sz val="11"/>
    </font>
    <font>
      <name val="Meiryo"/>
      <charset val="1"/>
      <family val="0"/>
      <color rgb="FF000000"/>
      <sz val="9"/>
    </font>
    <font>
      <name val="Noto Sans CJK SC"/>
      <family val="2"/>
      <b val="1"/>
      <color rgb="FF000000"/>
      <sz val="9"/>
    </font>
    <font>
      <name val="Noto Sans CJK SC"/>
      <family val="2"/>
      <color rgb="FF000000"/>
      <sz val="9"/>
    </font>
    <font>
      <name val="Meiryo"/>
      <charset val="1"/>
      <family val="0"/>
      <b val="1"/>
      <color rgb="FF000000"/>
      <sz val="9"/>
    </font>
    <font>
      <name val="Meiryo"/>
      <charset val="1"/>
      <family val="0"/>
      <color rgb="FF0000FF"/>
      <sz val="9"/>
    </font>
    <font>
      <name val="Meiryo"/>
      <charset val="1"/>
      <family val="0"/>
      <b val="1"/>
      <color rgb="FF0000FF"/>
      <sz val="9"/>
    </font>
    <font>
      <name val="Noto Sans CJK SC"/>
      <family val="2"/>
      <color rgb="FF808080"/>
      <sz val="9"/>
    </font>
    <font>
      <name val="Meiryo"/>
      <charset val="1"/>
      <family val="0"/>
      <color rgb="FF808080"/>
      <sz val="9"/>
    </font>
    <font>
      <name val="Meiryo"/>
      <charset val="1"/>
      <family val="0"/>
      <color rgb="FF008000"/>
      <sz val="9"/>
    </font>
  </fonts>
  <fills count="4">
    <fill>
      <patternFill/>
    </fill>
    <fill>
      <patternFill patternType="gray125"/>
    </fill>
    <fill>
      <patternFill patternType="solid">
        <fgColor rgb="FFDDE7F0"/>
        <bgColor rgb="FFF2F2F2"/>
      </patternFill>
    </fill>
    <fill>
      <patternFill patternType="solid">
        <fgColor rgb="FFF2F2F2"/>
        <bgColor rgb="FFDDE7F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10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 wrapText="1"/>
    </xf>
    <xf numFmtId="164" fontId="13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10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 wrapText="1"/>
    </xf>
    <xf numFmtId="164" fontId="13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DDE7F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7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0" min="1" max="1"/>
    <col width="95" customWidth="1" style="20" min="2" max="2"/>
  </cols>
  <sheetData>
    <row r="1" ht="15" customHeight="1" s="21">
      <c r="A1" s="22" t="inlineStr">
        <is>
          <t>制作サンプル：経営診断エージェント 入力受け皿（標準科目）への当てはめ</t>
        </is>
      </c>
    </row>
    <row r="2" ht="15" customHeight="1" s="21">
      <c r="A2" s="23" t="n"/>
    </row>
    <row r="3" ht="15" customHeight="1" s="21">
      <c r="A3" s="24" t="inlineStr">
        <is>
          <t>対象</t>
        </is>
      </c>
      <c r="B3" s="25" t="inlineStr">
        <is>
          <t>アルファ製菓株式会社 第73期（2025年4月1日〜2026年3月31日）単体財務諸表</t>
        </is>
      </c>
    </row>
    <row r="4" ht="24.6" customHeight="1" s="21">
      <c r="A4" s="24" t="inlineStr">
        <is>
          <t>出典</t>
        </is>
      </c>
      <c r="B4" s="25" t="inlineStr">
        <is>
          <t>有価証券報告書（モデル。数値は一定の係数で変換）</t>
        </is>
      </c>
    </row>
    <row r="5" ht="15" customHeight="1" s="21">
      <c r="A5" s="24" t="inlineStr">
        <is>
          <t>単位</t>
        </is>
      </c>
      <c r="B5" s="25" t="inlineStr">
        <is>
          <t>千円（原資料どおり。千円未満切捨てのため、合計と内訳に±2千円程度の端数差が生じうる）</t>
        </is>
      </c>
    </row>
    <row r="6" ht="15" customHeight="1" s="21">
      <c r="A6" s="24" t="inlineStr">
        <is>
          <t>用途</t>
        </is>
      </c>
      <c r="B6" s="25" t="inlineStr">
        <is>
          <t>システムの原理を作るための制作サンプル。外部に示す際は業種名を変え、数値を一定倍率で変換して匿名化する</t>
        </is>
      </c>
    </row>
    <row r="7" ht="15" customHeight="1" s="21">
      <c r="A7" s="23" t="n"/>
    </row>
    <row r="8" ht="15" customHeight="1" s="21">
      <c r="A8" s="24" t="inlineStr">
        <is>
          <t>シート構成</t>
        </is>
      </c>
    </row>
    <row r="9" ht="15" customHeight="1" s="21">
      <c r="A9" s="24" t="inlineStr">
        <is>
          <t>標準科目対応</t>
        </is>
      </c>
      <c r="B9" s="25" t="inlineStr">
        <is>
          <t>原資料の科目を標準科目に当てはめ、前期・当期の数値と出典頁、対応状態を記録</t>
        </is>
      </c>
    </row>
    <row r="10" ht="15" customHeight="1" s="21">
      <c r="A10" s="24" t="inlineStr">
        <is>
          <t>検算</t>
        </is>
      </c>
      <c r="B10" s="25" t="inlineStr">
        <is>
          <t>読み取り値の整合性を自動で確かめる。不一致があれば論争に進まず止める</t>
        </is>
      </c>
    </row>
    <row r="11" ht="15" customHeight="1" s="21">
      <c r="A11" s="24" t="inlineStr">
        <is>
          <t>欠落と扱い</t>
        </is>
      </c>
      <c r="B11" s="25" t="inlineStr">
        <is>
          <t>標準科目のうち原資料で埋まらないものと、システムの扱い（該当なし・埋没・未確認）</t>
        </is>
      </c>
    </row>
    <row r="12" ht="15" customHeight="1" s="21">
      <c r="A12" s="23" t="n"/>
    </row>
    <row r="13" ht="15" customHeight="1" s="21">
      <c r="A13" s="24" t="inlineStr">
        <is>
          <t>凡例</t>
        </is>
      </c>
    </row>
    <row r="14" ht="15" customHeight="1" s="21">
      <c r="A14" s="24" t="inlineStr">
        <is>
          <t>青字</t>
        </is>
      </c>
      <c r="B14" s="25" t="inlineStr">
        <is>
          <t>原資料から読み取った数値（入力）</t>
        </is>
      </c>
    </row>
    <row r="15" ht="15" customHeight="1" s="21">
      <c r="A15" s="24" t="inlineStr">
        <is>
          <t>黒字</t>
        </is>
      </c>
      <c r="B15" s="25" t="inlineStr">
        <is>
          <t>計算式</t>
        </is>
      </c>
    </row>
    <row r="16" ht="15" customHeight="1" s="21">
      <c r="A16" s="24" t="inlineStr">
        <is>
          <t>対応状態</t>
        </is>
      </c>
      <c r="B16" s="25" t="inlineStr">
        <is>
          <t>対応／名称のみ相違／統合表示／他表から分割可／上場企業特有／合計（検算用）</t>
        </is>
      </c>
    </row>
    <row r="17" ht="26.85" customHeight="1" s="21">
      <c r="A17" s="24" t="inlineStr">
        <is>
          <t>方針</t>
        </is>
      </c>
      <c r="B17" s="25" t="inlineStr">
        <is>
          <t>株式の時価評価（その他有価証券評価差額金・繰延税金負債）は原資料どおり保持し、加工しない。『本業の姿』は別の補助計算で示す（次工程）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0" min="1" max="1"/>
    <col width="12" customWidth="1" style="20" min="2" max="2"/>
    <col width="22" customWidth="1" style="20" min="3" max="3"/>
    <col width="30" customWidth="1" style="20" min="4" max="4"/>
    <col width="14" customWidth="1" style="20" min="5" max="7"/>
    <col width="7" customWidth="1" style="20" min="8" max="8"/>
    <col width="58" customWidth="1" style="20" min="9" max="9"/>
  </cols>
  <sheetData>
    <row r="1" ht="26.85" customHeight="1" s="21">
      <c r="A1" s="26" t="inlineStr">
        <is>
          <t>表</t>
        </is>
      </c>
      <c r="B1" s="26" t="inlineStr">
        <is>
          <t>区分</t>
        </is>
      </c>
      <c r="C1" s="26" t="inlineStr">
        <is>
          <t>標準科目</t>
        </is>
      </c>
      <c r="D1" s="26" t="inlineStr">
        <is>
          <t>原資料の科目</t>
        </is>
      </c>
      <c r="E1" s="26" t="inlineStr">
        <is>
          <t>前期（2025/3）</t>
        </is>
      </c>
      <c r="F1" s="26" t="inlineStr">
        <is>
          <t>当期（2026/3）</t>
        </is>
      </c>
      <c r="G1" s="26" t="inlineStr">
        <is>
          <t>対応状態</t>
        </is>
      </c>
      <c r="H1" s="26" t="inlineStr">
        <is>
          <t>出典頁</t>
        </is>
      </c>
      <c r="I1" s="26" t="inlineStr">
        <is>
          <t>備考</t>
        </is>
      </c>
    </row>
    <row r="2" ht="15" customHeight="1" s="21">
      <c r="A2" s="23" t="inlineStr">
        <is>
          <t>BS</t>
        </is>
      </c>
      <c r="B2" s="27" t="inlineStr">
        <is>
          <t>流動資産</t>
        </is>
      </c>
      <c r="C2" s="27" t="inlineStr">
        <is>
          <t>現金預金</t>
        </is>
      </c>
      <c r="D2" s="27" t="inlineStr">
        <is>
          <t>現金及び預金</t>
        </is>
      </c>
      <c r="E2" s="28" t="n">
        <v>3115370</v>
      </c>
      <c r="F2" s="28" t="n">
        <v>1775593</v>
      </c>
      <c r="G2" s="27" t="inlineStr">
        <is>
          <t>名称のみ相違</t>
        </is>
      </c>
      <c r="H2" s="23" t="inlineStr">
        <is>
          <t>p.91</t>
        </is>
      </c>
      <c r="I2" s="25" t="n"/>
    </row>
    <row r="3" ht="15" customHeight="1" s="21">
      <c r="A3" s="23" t="inlineStr">
        <is>
          <t>BS</t>
        </is>
      </c>
      <c r="B3" s="27" t="inlineStr">
        <is>
          <t>流動資産</t>
        </is>
      </c>
      <c r="C3" s="27" t="inlineStr">
        <is>
          <t>受取手形</t>
        </is>
      </c>
      <c r="D3" s="27" t="inlineStr">
        <is>
          <t>受取手形</t>
        </is>
      </c>
      <c r="E3" s="28" t="n">
        <v>3358</v>
      </c>
      <c r="F3" s="28" t="n">
        <v>1442</v>
      </c>
      <c r="G3" s="27" t="inlineStr">
        <is>
          <t>対応</t>
        </is>
      </c>
      <c r="H3" s="23" t="inlineStr">
        <is>
          <t>p.91</t>
        </is>
      </c>
      <c r="I3" s="25" t="n"/>
    </row>
    <row r="4" ht="15" customHeight="1" s="21">
      <c r="A4" s="23" t="inlineStr">
        <is>
          <t>BS</t>
        </is>
      </c>
      <c r="B4" s="27" t="inlineStr">
        <is>
          <t>流動資産</t>
        </is>
      </c>
      <c r="C4" s="27" t="inlineStr">
        <is>
          <t>売掛金</t>
        </is>
      </c>
      <c r="D4" s="27" t="inlineStr">
        <is>
          <t>売掛金</t>
        </is>
      </c>
      <c r="E4" s="28" t="n">
        <v>6052058</v>
      </c>
      <c r="F4" s="28" t="n">
        <v>6043850</v>
      </c>
      <c r="G4" s="27" t="inlineStr">
        <is>
          <t>対応</t>
        </is>
      </c>
      <c r="H4" s="23" t="inlineStr">
        <is>
          <t>p.91</t>
        </is>
      </c>
      <c r="I4" s="25" t="n"/>
    </row>
    <row r="5" ht="26.85" customHeight="1" s="21">
      <c r="A5" s="23" t="inlineStr">
        <is>
          <t>BS</t>
        </is>
      </c>
      <c r="B5" s="27" t="inlineStr">
        <is>
          <t>流動資産</t>
        </is>
      </c>
      <c r="C5" s="27" t="inlineStr">
        <is>
          <t>製品・商品</t>
        </is>
      </c>
      <c r="D5" s="27" t="inlineStr">
        <is>
          <t>商品及び製品</t>
        </is>
      </c>
      <c r="E5" s="28" t="n">
        <v>544561</v>
      </c>
      <c r="F5" s="28" t="n">
        <v>1080987</v>
      </c>
      <c r="G5" s="27" t="inlineStr">
        <is>
          <t>他表から分割可</t>
        </is>
      </c>
      <c r="H5" s="23" t="inlineStr">
        <is>
          <t>p.91</t>
        </is>
      </c>
      <c r="I5" s="25" t="inlineStr">
        <is>
          <t>製造原価明細書の売上原価調整表で期末製品725,962／期末商品355,025に分割可</t>
        </is>
      </c>
    </row>
    <row r="6" ht="15" customHeight="1" s="21">
      <c r="A6" s="23" t="inlineStr">
        <is>
          <t>BS</t>
        </is>
      </c>
      <c r="B6" s="27" t="inlineStr">
        <is>
          <t>流動資産</t>
        </is>
      </c>
      <c r="C6" s="27" t="inlineStr">
        <is>
          <t>仕掛品</t>
        </is>
      </c>
      <c r="D6" s="27" t="inlineStr">
        <is>
          <t>仕掛品</t>
        </is>
      </c>
      <c r="E6" s="28" t="n">
        <v>159540</v>
      </c>
      <c r="F6" s="28" t="n">
        <v>182953</v>
      </c>
      <c r="G6" s="27" t="inlineStr">
        <is>
          <t>対応</t>
        </is>
      </c>
      <c r="H6" s="23" t="inlineStr">
        <is>
          <t>p.91</t>
        </is>
      </c>
      <c r="I6" s="25" t="n"/>
    </row>
    <row r="7" ht="15" customHeight="1" s="21">
      <c r="A7" s="23" t="inlineStr">
        <is>
          <t>BS</t>
        </is>
      </c>
      <c r="B7" s="27" t="inlineStr">
        <is>
          <t>流動資産</t>
        </is>
      </c>
      <c r="C7" s="27" t="inlineStr">
        <is>
          <t>原材料</t>
        </is>
      </c>
      <c r="D7" s="27" t="inlineStr">
        <is>
          <t>原材料及び貯蔵品</t>
        </is>
      </c>
      <c r="E7" s="28" t="n">
        <v>1234522</v>
      </c>
      <c r="F7" s="28" t="n">
        <v>1897578</v>
      </c>
      <c r="G7" s="27" t="inlineStr">
        <is>
          <t>統合表示</t>
        </is>
      </c>
      <c r="H7" s="23" t="inlineStr">
        <is>
          <t>p.91</t>
        </is>
      </c>
      <c r="I7" s="25" t="inlineStr">
        <is>
          <t>原材料と貯蔵品は分割不可</t>
        </is>
      </c>
    </row>
    <row r="8" ht="15" customHeight="1" s="21">
      <c r="A8" s="23" t="inlineStr">
        <is>
          <t>BS</t>
        </is>
      </c>
      <c r="B8" s="27" t="inlineStr">
        <is>
          <t>流動資産</t>
        </is>
      </c>
      <c r="C8" s="27" t="inlineStr">
        <is>
          <t>前払費用</t>
        </is>
      </c>
      <c r="D8" s="27" t="inlineStr">
        <is>
          <t>前払費用</t>
        </is>
      </c>
      <c r="E8" s="28" t="n">
        <v>111225</v>
      </c>
      <c r="F8" s="28" t="n">
        <v>118336</v>
      </c>
      <c r="G8" s="27" t="inlineStr">
        <is>
          <t>対応</t>
        </is>
      </c>
      <c r="H8" s="23" t="inlineStr">
        <is>
          <t>p.91</t>
        </is>
      </c>
      <c r="I8" s="25" t="n"/>
    </row>
    <row r="9" ht="26.85" customHeight="1" s="21">
      <c r="A9" s="23" t="inlineStr">
        <is>
          <t>BS</t>
        </is>
      </c>
      <c r="B9" s="27" t="inlineStr">
        <is>
          <t>流動資産</t>
        </is>
      </c>
      <c r="C9" s="27" t="inlineStr">
        <is>
          <t>その他流動資産</t>
        </is>
      </c>
      <c r="D9" s="27" t="inlineStr">
        <is>
          <t>その他</t>
        </is>
      </c>
      <c r="E9" s="28" t="n">
        <v>73665</v>
      </c>
      <c r="F9" s="28" t="n">
        <v>212878</v>
      </c>
      <c r="G9" s="27" t="inlineStr">
        <is>
          <t>統合表示</t>
        </is>
      </c>
      <c r="H9" s="23" t="inlineStr">
        <is>
          <t>p.91</t>
        </is>
      </c>
      <c r="I9" s="25" t="inlineStr">
        <is>
          <t>未収入金・仮払金・未収消費税等が埋没（連結注記では未収消費税等が増加と説明）</t>
        </is>
      </c>
    </row>
    <row r="10" ht="15" customHeight="1" s="21">
      <c r="A10" s="23" t="inlineStr">
        <is>
          <t>BS</t>
        </is>
      </c>
      <c r="B10" s="27" t="inlineStr">
        <is>
          <t>流動資産</t>
        </is>
      </c>
      <c r="C10" s="27" t="inlineStr">
        <is>
          <t>貸倒引当金（流動）</t>
        </is>
      </c>
      <c r="D10" s="27" t="inlineStr">
        <is>
          <t>貸倒引当金</t>
        </is>
      </c>
      <c r="E10" s="28" t="n">
        <v>-36961</v>
      </c>
      <c r="F10" s="28" t="n">
        <v>0</v>
      </c>
      <c r="G10" s="27" t="inlineStr">
        <is>
          <t>対応</t>
        </is>
      </c>
      <c r="H10" s="23" t="inlineStr">
        <is>
          <t>p.91</t>
        </is>
      </c>
      <c r="I10" s="25" t="inlineStr">
        <is>
          <t>当期は「－」</t>
        </is>
      </c>
    </row>
    <row r="11" ht="15" customHeight="1" s="21">
      <c r="A11" s="29" t="inlineStr">
        <is>
          <t>BS</t>
        </is>
      </c>
      <c r="B11" s="30" t="inlineStr">
        <is>
          <t>流動資産</t>
        </is>
      </c>
      <c r="C11" s="31" t="inlineStr">
        <is>
          <t>流動資産合計</t>
        </is>
      </c>
      <c r="D11" s="31" t="inlineStr">
        <is>
          <t>流動資産合計</t>
        </is>
      </c>
      <c r="E11" s="32" t="n">
        <v>11257340</v>
      </c>
      <c r="F11" s="32" t="n">
        <v>11313622</v>
      </c>
      <c r="G11" s="30" t="inlineStr">
        <is>
          <t>合計（検算用）</t>
        </is>
      </c>
      <c r="H11" s="29" t="inlineStr">
        <is>
          <t>p.91</t>
        </is>
      </c>
      <c r="I11" s="33" t="n"/>
    </row>
    <row r="12" ht="15" customHeight="1" s="21">
      <c r="A12" s="23" t="inlineStr">
        <is>
          <t>BS</t>
        </is>
      </c>
      <c r="B12" s="27" t="inlineStr">
        <is>
          <t>有形固定資産</t>
        </is>
      </c>
      <c r="C12" s="27" t="inlineStr">
        <is>
          <t>建物</t>
        </is>
      </c>
      <c r="D12" s="27" t="inlineStr">
        <is>
          <t>建物</t>
        </is>
      </c>
      <c r="E12" s="28" t="n">
        <v>7341480</v>
      </c>
      <c r="F12" s="28" t="n">
        <v>7861541</v>
      </c>
      <c r="G12" s="27" t="inlineStr">
        <is>
          <t>対応</t>
        </is>
      </c>
      <c r="H12" s="23" t="inlineStr">
        <is>
          <t>p.91</t>
        </is>
      </c>
      <c r="I12" s="25" t="inlineStr">
        <is>
          <t>純額（減価償却累計額控除後）表示</t>
        </is>
      </c>
    </row>
    <row r="13" ht="15" customHeight="1" s="21">
      <c r="A13" s="23" t="inlineStr">
        <is>
          <t>BS</t>
        </is>
      </c>
      <c r="B13" s="27" t="inlineStr">
        <is>
          <t>有形固定資産</t>
        </is>
      </c>
      <c r="C13" s="27" t="inlineStr">
        <is>
          <t>構築物</t>
        </is>
      </c>
      <c r="D13" s="27" t="inlineStr">
        <is>
          <t>構築物</t>
        </is>
      </c>
      <c r="E13" s="28" t="n">
        <v>466347</v>
      </c>
      <c r="F13" s="28" t="n">
        <v>480485</v>
      </c>
      <c r="G13" s="27" t="inlineStr">
        <is>
          <t>対応</t>
        </is>
      </c>
      <c r="H13" s="23" t="inlineStr">
        <is>
          <t>p.91</t>
        </is>
      </c>
      <c r="I13" s="25" t="n"/>
    </row>
    <row r="14" ht="15" customHeight="1" s="21">
      <c r="A14" s="23" t="inlineStr">
        <is>
          <t>BS</t>
        </is>
      </c>
      <c r="B14" s="27" t="inlineStr">
        <is>
          <t>有形固定資産</t>
        </is>
      </c>
      <c r="C14" s="27" t="inlineStr">
        <is>
          <t>機械装置</t>
        </is>
      </c>
      <c r="D14" s="27" t="inlineStr">
        <is>
          <t>機械及び装置</t>
        </is>
      </c>
      <c r="E14" s="28" t="n">
        <v>5609616</v>
      </c>
      <c r="F14" s="28" t="n">
        <v>6289858</v>
      </c>
      <c r="G14" s="27" t="inlineStr">
        <is>
          <t>名称のみ相違</t>
        </is>
      </c>
      <c r="H14" s="23" t="inlineStr">
        <is>
          <t>p.91</t>
        </is>
      </c>
      <c r="I14" s="25" t="n"/>
    </row>
    <row r="15" ht="15" customHeight="1" s="21">
      <c r="A15" s="23" t="inlineStr">
        <is>
          <t>BS</t>
        </is>
      </c>
      <c r="B15" s="27" t="inlineStr">
        <is>
          <t>有形固定資産</t>
        </is>
      </c>
      <c r="C15" s="27" t="inlineStr">
        <is>
          <t>車両運搬具</t>
        </is>
      </c>
      <c r="D15" s="27" t="inlineStr">
        <is>
          <t>車両運搬具</t>
        </is>
      </c>
      <c r="E15" s="28" t="n">
        <v>13380</v>
      </c>
      <c r="F15" s="28" t="n">
        <v>24011</v>
      </c>
      <c r="G15" s="27" t="inlineStr">
        <is>
          <t>対応</t>
        </is>
      </c>
      <c r="H15" s="23" t="inlineStr">
        <is>
          <t>p.91</t>
        </is>
      </c>
      <c r="I15" s="25" t="n"/>
    </row>
    <row r="16" ht="15" customHeight="1" s="21">
      <c r="A16" s="23" t="inlineStr">
        <is>
          <t>BS</t>
        </is>
      </c>
      <c r="B16" s="27" t="inlineStr">
        <is>
          <t>有形固定資産</t>
        </is>
      </c>
      <c r="C16" s="27" t="inlineStr">
        <is>
          <t>工具器具備品</t>
        </is>
      </c>
      <c r="D16" s="27" t="inlineStr">
        <is>
          <t>工具、器具及び備品</t>
        </is>
      </c>
      <c r="E16" s="28" t="n">
        <v>142891</v>
      </c>
      <c r="F16" s="28" t="n">
        <v>185104</v>
      </c>
      <c r="G16" s="27" t="inlineStr">
        <is>
          <t>名称のみ相違</t>
        </is>
      </c>
      <c r="H16" s="23" t="inlineStr">
        <is>
          <t>p.91</t>
        </is>
      </c>
      <c r="I16" s="25" t="n"/>
    </row>
    <row r="17" ht="15" customHeight="1" s="21">
      <c r="A17" s="23" t="inlineStr">
        <is>
          <t>BS</t>
        </is>
      </c>
      <c r="B17" s="27" t="inlineStr">
        <is>
          <t>有形固定資産</t>
        </is>
      </c>
      <c r="C17" s="27" t="inlineStr">
        <is>
          <t>土地</t>
        </is>
      </c>
      <c r="D17" s="27" t="inlineStr">
        <is>
          <t>土地</t>
        </is>
      </c>
      <c r="E17" s="28" t="n">
        <v>824922</v>
      </c>
      <c r="F17" s="28" t="n">
        <v>967832</v>
      </c>
      <c r="G17" s="27" t="inlineStr">
        <is>
          <t>対応</t>
        </is>
      </c>
      <c r="H17" s="23" t="inlineStr">
        <is>
          <t>p.91</t>
        </is>
      </c>
      <c r="I17" s="25" t="n"/>
    </row>
    <row r="18" ht="15" customHeight="1" s="21">
      <c r="A18" s="23" t="inlineStr">
        <is>
          <t>BS</t>
        </is>
      </c>
      <c r="B18" s="27" t="inlineStr">
        <is>
          <t>有形固定資産</t>
        </is>
      </c>
      <c r="C18" s="27" t="inlineStr">
        <is>
          <t>リース資産</t>
        </is>
      </c>
      <c r="D18" s="27" t="inlineStr">
        <is>
          <t>リース資産</t>
        </is>
      </c>
      <c r="E18" s="28" t="n">
        <v>59453</v>
      </c>
      <c r="F18" s="28" t="n">
        <v>64659</v>
      </c>
      <c r="G18" s="27" t="inlineStr">
        <is>
          <t>対応</t>
        </is>
      </c>
      <c r="H18" s="23" t="inlineStr">
        <is>
          <t>p.91</t>
        </is>
      </c>
      <c r="I18" s="25" t="n"/>
    </row>
    <row r="19" ht="15" customHeight="1" s="21">
      <c r="A19" s="23" t="inlineStr">
        <is>
          <t>BS</t>
        </is>
      </c>
      <c r="B19" s="27" t="inlineStr">
        <is>
          <t>有形固定資産</t>
        </is>
      </c>
      <c r="C19" s="27" t="inlineStr">
        <is>
          <t>建設仮勘定</t>
        </is>
      </c>
      <c r="D19" s="27" t="inlineStr">
        <is>
          <t>建設仮勘定</t>
        </is>
      </c>
      <c r="E19" s="28" t="n">
        <v>817424</v>
      </c>
      <c r="F19" s="28" t="n">
        <v>247992</v>
      </c>
      <c r="G19" s="27" t="inlineStr">
        <is>
          <t>対応</t>
        </is>
      </c>
      <c r="H19" s="23" t="inlineStr">
        <is>
          <t>p.91</t>
        </is>
      </c>
      <c r="I19" s="25" t="n"/>
    </row>
    <row r="20" ht="15" customHeight="1" s="21">
      <c r="A20" s="29" t="inlineStr">
        <is>
          <t>BS</t>
        </is>
      </c>
      <c r="B20" s="30" t="inlineStr">
        <is>
          <t>有形固定資産</t>
        </is>
      </c>
      <c r="C20" s="31" t="inlineStr">
        <is>
          <t>有形固定資産合計</t>
        </is>
      </c>
      <c r="D20" s="31" t="inlineStr">
        <is>
          <t>有形固定資産合計</t>
        </is>
      </c>
      <c r="E20" s="32" t="n">
        <v>15275516</v>
      </c>
      <c r="F20" s="32" t="n">
        <v>16121486</v>
      </c>
      <c r="G20" s="30" t="inlineStr">
        <is>
          <t>合計（検算用）</t>
        </is>
      </c>
      <c r="H20" s="29" t="inlineStr">
        <is>
          <t>p.91</t>
        </is>
      </c>
      <c r="I20" s="33" t="n"/>
    </row>
    <row r="21" ht="15" customHeight="1" s="21">
      <c r="A21" s="23" t="inlineStr">
        <is>
          <t>BS</t>
        </is>
      </c>
      <c r="B21" s="27" t="inlineStr">
        <is>
          <t>無形固定資産</t>
        </is>
      </c>
      <c r="C21" s="27" t="inlineStr">
        <is>
          <t>ソフトウェア</t>
        </is>
      </c>
      <c r="D21" s="27" t="inlineStr">
        <is>
          <t>ソフトウエア</t>
        </is>
      </c>
      <c r="E21" s="28" t="n">
        <v>46581</v>
      </c>
      <c r="F21" s="28" t="n">
        <v>29099</v>
      </c>
      <c r="G21" s="27" t="inlineStr">
        <is>
          <t>名称のみ相違</t>
        </is>
      </c>
      <c r="H21" s="23" t="inlineStr">
        <is>
          <t>p.91</t>
        </is>
      </c>
      <c r="I21" s="25" t="n"/>
    </row>
    <row r="22" ht="15" customHeight="1" s="21">
      <c r="A22" s="23" t="inlineStr">
        <is>
          <t>BS</t>
        </is>
      </c>
      <c r="B22" s="27" t="inlineStr">
        <is>
          <t>無形固定資産</t>
        </is>
      </c>
      <c r="C22" s="27" t="inlineStr">
        <is>
          <t>その他無形</t>
        </is>
      </c>
      <c r="D22" s="27" t="inlineStr">
        <is>
          <t>その他</t>
        </is>
      </c>
      <c r="E22" s="28" t="n">
        <v>10841</v>
      </c>
      <c r="F22" s="28" t="n">
        <v>22148</v>
      </c>
      <c r="G22" s="27" t="inlineStr">
        <is>
          <t>統合表示</t>
        </is>
      </c>
      <c r="H22" s="23" t="inlineStr">
        <is>
          <t>p.91</t>
        </is>
      </c>
      <c r="I22" s="25" t="n"/>
    </row>
    <row r="23" ht="15" customHeight="1" s="21">
      <c r="A23" s="29" t="inlineStr">
        <is>
          <t>BS</t>
        </is>
      </c>
      <c r="B23" s="30" t="inlineStr">
        <is>
          <t>無形固定資産</t>
        </is>
      </c>
      <c r="C23" s="31" t="inlineStr">
        <is>
          <t>無形固定資産合計</t>
        </is>
      </c>
      <c r="D23" s="31" t="inlineStr">
        <is>
          <t>無形固定資産合計</t>
        </is>
      </c>
      <c r="E23" s="32" t="n">
        <v>57423</v>
      </c>
      <c r="F23" s="32" t="n">
        <v>51248</v>
      </c>
      <c r="G23" s="30" t="inlineStr">
        <is>
          <t>合計（検算用）</t>
        </is>
      </c>
      <c r="H23" s="29" t="inlineStr">
        <is>
          <t>p.91</t>
        </is>
      </c>
      <c r="I23" s="33" t="n"/>
    </row>
    <row r="24" ht="26.85" customHeight="1" s="21">
      <c r="A24" s="23" t="inlineStr">
        <is>
          <t>BS</t>
        </is>
      </c>
      <c r="B24" s="27" t="inlineStr">
        <is>
          <t>投資その他</t>
        </is>
      </c>
      <c r="C24" s="27" t="inlineStr">
        <is>
          <t>投資有価証券</t>
        </is>
      </c>
      <c r="D24" s="27" t="inlineStr">
        <is>
          <t>投資有価証券</t>
        </is>
      </c>
      <c r="E24" s="28" t="n">
        <v>65507110</v>
      </c>
      <c r="F24" s="28" t="n">
        <v>66405773</v>
      </c>
      <c r="G24" s="27" t="inlineStr">
        <is>
          <t>上場企業特有</t>
        </is>
      </c>
      <c r="H24" s="23" t="inlineStr">
        <is>
          <t>p.91</t>
        </is>
      </c>
      <c r="I24" s="25" t="inlineStr">
        <is>
          <t>時価評価。うち大半が旺旺集団株式（貸借対照表計上額58,936,200：p.58）</t>
        </is>
      </c>
    </row>
    <row r="25" ht="15" customHeight="1" s="21">
      <c r="A25" s="23" t="inlineStr">
        <is>
          <t>BS</t>
        </is>
      </c>
      <c r="B25" s="27" t="inlineStr">
        <is>
          <t>投資その他</t>
        </is>
      </c>
      <c r="C25" s="27" t="inlineStr">
        <is>
          <t>関係会社株式</t>
        </is>
      </c>
      <c r="D25" s="27" t="inlineStr">
        <is>
          <t>関係会社株式</t>
        </is>
      </c>
      <c r="E25" s="28" t="n">
        <v>183623</v>
      </c>
      <c r="F25" s="28" t="n">
        <v>183623</v>
      </c>
      <c r="G25" s="27" t="inlineStr">
        <is>
          <t>対応</t>
        </is>
      </c>
      <c r="H25" s="23" t="inlineStr">
        <is>
          <t>p.91</t>
        </is>
      </c>
      <c r="I25" s="25" t="n"/>
    </row>
    <row r="26" ht="15" customHeight="1" s="21">
      <c r="A26" s="23" t="inlineStr">
        <is>
          <t>BS</t>
        </is>
      </c>
      <c r="B26" s="27" t="inlineStr">
        <is>
          <t>投資その他</t>
        </is>
      </c>
      <c r="C26" s="27" t="inlineStr">
        <is>
          <t>出資金</t>
        </is>
      </c>
      <c r="D26" s="27" t="inlineStr">
        <is>
          <t>出資金</t>
        </is>
      </c>
      <c r="E26" s="28" t="n">
        <v>1233</v>
      </c>
      <c r="F26" s="28" t="n">
        <v>1233</v>
      </c>
      <c r="G26" s="27" t="inlineStr">
        <is>
          <t>対応</t>
        </is>
      </c>
      <c r="H26" s="23" t="inlineStr">
        <is>
          <t>p.91</t>
        </is>
      </c>
      <c r="I26" s="25" t="n"/>
    </row>
    <row r="27" ht="15" customHeight="1" s="21">
      <c r="A27" s="23" t="inlineStr">
        <is>
          <t>BS</t>
        </is>
      </c>
      <c r="B27" s="27" t="inlineStr">
        <is>
          <t>投資その他</t>
        </is>
      </c>
      <c r="C27" s="27" t="inlineStr">
        <is>
          <t>長期貸付金</t>
        </is>
      </c>
      <c r="D27" s="27" t="inlineStr">
        <is>
          <t>従業員に対する長期貸付金</t>
        </is>
      </c>
      <c r="E27" s="28" t="n">
        <v>2903</v>
      </c>
      <c r="F27" s="28" t="n">
        <v>2091</v>
      </c>
      <c r="G27" s="27" t="inlineStr">
        <is>
          <t>名称のみ相違</t>
        </is>
      </c>
      <c r="H27" s="23" t="inlineStr">
        <is>
          <t>p.91</t>
        </is>
      </c>
      <c r="I27" s="25" t="inlineStr">
        <is>
          <t>役員・代表者への貸付は該当なし</t>
        </is>
      </c>
    </row>
    <row r="28" ht="15" customHeight="1" s="21">
      <c r="A28" s="23" t="inlineStr">
        <is>
          <t>BS</t>
        </is>
      </c>
      <c r="B28" s="27" t="inlineStr">
        <is>
          <t>投資その他</t>
        </is>
      </c>
      <c r="C28" s="27" t="inlineStr">
        <is>
          <t>長期前払費用</t>
        </is>
      </c>
      <c r="D28" s="27" t="inlineStr">
        <is>
          <t>長期前払費用</t>
        </is>
      </c>
      <c r="E28" s="28" t="n">
        <v>42401</v>
      </c>
      <c r="F28" s="28" t="n">
        <v>28939</v>
      </c>
      <c r="G28" s="27" t="inlineStr">
        <is>
          <t>対応</t>
        </is>
      </c>
      <c r="H28" s="23" t="inlineStr">
        <is>
          <t>p.91</t>
        </is>
      </c>
      <c r="I28" s="25" t="n"/>
    </row>
    <row r="29" ht="15" customHeight="1" s="21">
      <c r="A29" s="23" t="inlineStr">
        <is>
          <t>BS</t>
        </is>
      </c>
      <c r="B29" s="27" t="inlineStr">
        <is>
          <t>投資その他</t>
        </is>
      </c>
      <c r="C29" s="27" t="inlineStr">
        <is>
          <t>差入保証金</t>
        </is>
      </c>
      <c r="D29" s="27" t="inlineStr">
        <is>
          <t>差入保証金</t>
        </is>
      </c>
      <c r="E29" s="28" t="n">
        <v>75626</v>
      </c>
      <c r="F29" s="28" t="n">
        <v>57054</v>
      </c>
      <c r="G29" s="27" t="inlineStr">
        <is>
          <t>対応</t>
        </is>
      </c>
      <c r="H29" s="23" t="inlineStr">
        <is>
          <t>p.91</t>
        </is>
      </c>
      <c r="I29" s="25" t="n"/>
    </row>
    <row r="30" ht="15" customHeight="1" s="21">
      <c r="A30" s="23" t="inlineStr">
        <is>
          <t>BS</t>
        </is>
      </c>
      <c r="B30" s="27" t="inlineStr">
        <is>
          <t>投資その他</t>
        </is>
      </c>
      <c r="C30" s="27" t="inlineStr">
        <is>
          <t>その他投資</t>
        </is>
      </c>
      <c r="D30" s="27" t="inlineStr">
        <is>
          <t>その他</t>
        </is>
      </c>
      <c r="E30" s="28" t="n">
        <v>150078</v>
      </c>
      <c r="F30" s="28" t="n">
        <v>198610</v>
      </c>
      <c r="G30" s="27" t="inlineStr">
        <is>
          <t>統合表示</t>
        </is>
      </c>
      <c r="H30" s="23" t="inlineStr">
        <is>
          <t>p.91</t>
        </is>
      </c>
      <c r="I30" s="25" t="inlineStr">
        <is>
          <t>保険積立金・ゴルフ会員権等が埋没の可能性</t>
        </is>
      </c>
    </row>
    <row r="31" ht="15" customHeight="1" s="21">
      <c r="A31" s="23" t="inlineStr">
        <is>
          <t>BS</t>
        </is>
      </c>
      <c r="B31" s="27" t="inlineStr">
        <is>
          <t>投資その他</t>
        </is>
      </c>
      <c r="C31" s="27" t="inlineStr">
        <is>
          <t>貸倒引当金（固定）</t>
        </is>
      </c>
      <c r="D31" s="27" t="inlineStr">
        <is>
          <t>貸倒引当金</t>
        </is>
      </c>
      <c r="E31" s="28" t="n">
        <v>-33661</v>
      </c>
      <c r="F31" s="28" t="n">
        <v>-73209</v>
      </c>
      <c r="G31" s="27" t="inlineStr">
        <is>
          <t>対応</t>
        </is>
      </c>
      <c r="H31" s="23" t="inlineStr">
        <is>
          <t>p.91</t>
        </is>
      </c>
      <c r="I31" s="25" t="n"/>
    </row>
    <row r="32" ht="15" customHeight="1" s="21">
      <c r="A32" s="29" t="inlineStr">
        <is>
          <t>BS</t>
        </is>
      </c>
      <c r="B32" s="30" t="inlineStr">
        <is>
          <t>投資その他</t>
        </is>
      </c>
      <c r="C32" s="31" t="inlineStr">
        <is>
          <t>投資その他の資産合計</t>
        </is>
      </c>
      <c r="D32" s="31" t="inlineStr">
        <is>
          <t>投資その他の資産合計</t>
        </is>
      </c>
      <c r="E32" s="32" t="n">
        <v>65929314</v>
      </c>
      <c r="F32" s="32" t="n">
        <v>66804115</v>
      </c>
      <c r="G32" s="30" t="inlineStr">
        <is>
          <t>合計（検算用）</t>
        </is>
      </c>
      <c r="H32" s="29" t="inlineStr">
        <is>
          <t>p.91</t>
        </is>
      </c>
      <c r="I32" s="33" t="n"/>
    </row>
    <row r="33" ht="15" customHeight="1" s="21">
      <c r="A33" s="29" t="inlineStr">
        <is>
          <t>BS</t>
        </is>
      </c>
      <c r="B33" s="30" t="inlineStr">
        <is>
          <t>固定資産</t>
        </is>
      </c>
      <c r="C33" s="31" t="inlineStr">
        <is>
          <t>固定資産合計</t>
        </is>
      </c>
      <c r="D33" s="31" t="inlineStr">
        <is>
          <t>固定資産合計</t>
        </is>
      </c>
      <c r="E33" s="32" t="n">
        <v>81262253</v>
      </c>
      <c r="F33" s="32" t="n">
        <v>82976849</v>
      </c>
      <c r="G33" s="30" t="inlineStr">
        <is>
          <t>合計（検算用）</t>
        </is>
      </c>
      <c r="H33" s="29" t="inlineStr">
        <is>
          <t>p.91</t>
        </is>
      </c>
      <c r="I33" s="33" t="n"/>
    </row>
    <row r="34" ht="15" customHeight="1" s="21">
      <c r="A34" s="29" t="inlineStr">
        <is>
          <t>BS</t>
        </is>
      </c>
      <c r="B34" s="30" t="inlineStr">
        <is>
          <t>資産</t>
        </is>
      </c>
      <c r="C34" s="31" t="inlineStr">
        <is>
          <t>資産合計</t>
        </is>
      </c>
      <c r="D34" s="31" t="inlineStr">
        <is>
          <t>資産合計</t>
        </is>
      </c>
      <c r="E34" s="32" t="n">
        <v>92519592</v>
      </c>
      <c r="F34" s="32" t="n">
        <v>94290472</v>
      </c>
      <c r="G34" s="30" t="inlineStr">
        <is>
          <t>合計（検算用）</t>
        </is>
      </c>
      <c r="H34" s="29" t="inlineStr">
        <is>
          <t>p.91</t>
        </is>
      </c>
      <c r="I34" s="33" t="n"/>
    </row>
    <row r="35" ht="15" customHeight="1" s="21">
      <c r="A35" s="23" t="inlineStr">
        <is>
          <t>BS</t>
        </is>
      </c>
      <c r="B35" s="27" t="inlineStr">
        <is>
          <t>流動負債</t>
        </is>
      </c>
      <c r="C35" s="27" t="inlineStr">
        <is>
          <t>買掛金</t>
        </is>
      </c>
      <c r="D35" s="27" t="inlineStr">
        <is>
          <t>買掛金</t>
        </is>
      </c>
      <c r="E35" s="28" t="n">
        <v>1183426</v>
      </c>
      <c r="F35" s="28" t="n">
        <v>1409473</v>
      </c>
      <c r="G35" s="27" t="inlineStr">
        <is>
          <t>対応</t>
        </is>
      </c>
      <c r="H35" s="23" t="inlineStr">
        <is>
          <t>p.92</t>
        </is>
      </c>
      <c r="I35" s="25" t="n"/>
    </row>
    <row r="36" ht="15" customHeight="1" s="21">
      <c r="A36" s="23" t="inlineStr">
        <is>
          <t>BS</t>
        </is>
      </c>
      <c r="B36" s="27" t="inlineStr">
        <is>
          <t>流動負債</t>
        </is>
      </c>
      <c r="C36" s="23" t="inlineStr">
        <is>
          <t>1年内返済長期借入金</t>
        </is>
      </c>
      <c r="D36" s="27" t="inlineStr">
        <is>
          <t>１年内返済予定の長期借入金</t>
        </is>
      </c>
      <c r="E36" s="28" t="n">
        <v>412824</v>
      </c>
      <c r="F36" s="28" t="n">
        <v>4532</v>
      </c>
      <c r="G36" s="27" t="inlineStr">
        <is>
          <t>対応</t>
        </is>
      </c>
      <c r="H36" s="23" t="inlineStr">
        <is>
          <t>p.92</t>
        </is>
      </c>
      <c r="I36" s="25" t="n"/>
    </row>
    <row r="37" ht="15" customHeight="1" s="21">
      <c r="A37" s="23" t="inlineStr">
        <is>
          <t>BS</t>
        </is>
      </c>
      <c r="B37" s="27" t="inlineStr">
        <is>
          <t>流動負債</t>
        </is>
      </c>
      <c r="C37" s="23" t="inlineStr">
        <is>
          <t>1年内償還社債</t>
        </is>
      </c>
      <c r="D37" s="27" t="inlineStr">
        <is>
          <t>１年内償還予定の社債</t>
        </is>
      </c>
      <c r="E37" s="28" t="n">
        <v>0</v>
      </c>
      <c r="F37" s="28" t="n">
        <v>103000</v>
      </c>
      <c r="G37" s="27" t="inlineStr">
        <is>
          <t>対応</t>
        </is>
      </c>
      <c r="H37" s="23" t="inlineStr">
        <is>
          <t>p.92</t>
        </is>
      </c>
      <c r="I37" s="25" t="inlineStr">
        <is>
          <t>中小企業の私募債と同型</t>
        </is>
      </c>
    </row>
    <row r="38" ht="15" customHeight="1" s="21">
      <c r="A38" s="23" t="inlineStr">
        <is>
          <t>BS</t>
        </is>
      </c>
      <c r="B38" s="27" t="inlineStr">
        <is>
          <t>流動負債</t>
        </is>
      </c>
      <c r="C38" s="27" t="inlineStr">
        <is>
          <t>リース債務（流動）</t>
        </is>
      </c>
      <c r="D38" s="27" t="inlineStr">
        <is>
          <t>リース債務</t>
        </is>
      </c>
      <c r="E38" s="28" t="n">
        <v>18277</v>
      </c>
      <c r="F38" s="28" t="n">
        <v>21487</v>
      </c>
      <c r="G38" s="27" t="inlineStr">
        <is>
          <t>対応</t>
        </is>
      </c>
      <c r="H38" s="23" t="inlineStr">
        <is>
          <t>p.92</t>
        </is>
      </c>
      <c r="I38" s="25" t="n"/>
    </row>
    <row r="39" ht="15" customHeight="1" s="21">
      <c r="A39" s="23" t="inlineStr">
        <is>
          <t>BS</t>
        </is>
      </c>
      <c r="B39" s="27" t="inlineStr">
        <is>
          <t>流動負債</t>
        </is>
      </c>
      <c r="C39" s="27" t="inlineStr">
        <is>
          <t>未払金</t>
        </is>
      </c>
      <c r="D39" s="27" t="inlineStr">
        <is>
          <t>未払金</t>
        </is>
      </c>
      <c r="E39" s="28" t="n">
        <v>1093664</v>
      </c>
      <c r="F39" s="28" t="n">
        <v>878773</v>
      </c>
      <c r="G39" s="27" t="inlineStr">
        <is>
          <t>対応</t>
        </is>
      </c>
      <c r="H39" s="23" t="inlineStr">
        <is>
          <t>p.92</t>
        </is>
      </c>
      <c r="I39" s="25" t="n"/>
    </row>
    <row r="40" ht="15" customHeight="1" s="21">
      <c r="A40" s="23" t="inlineStr">
        <is>
          <t>BS</t>
        </is>
      </c>
      <c r="B40" s="27" t="inlineStr">
        <is>
          <t>流動負債</t>
        </is>
      </c>
      <c r="C40" s="27" t="inlineStr">
        <is>
          <t>未払費用</t>
        </is>
      </c>
      <c r="D40" s="27" t="inlineStr">
        <is>
          <t>未払費用</t>
        </is>
      </c>
      <c r="E40" s="28" t="n">
        <v>592292</v>
      </c>
      <c r="F40" s="28" t="n">
        <v>572793</v>
      </c>
      <c r="G40" s="27" t="inlineStr">
        <is>
          <t>対応</t>
        </is>
      </c>
      <c r="H40" s="23" t="inlineStr">
        <is>
          <t>p.92</t>
        </is>
      </c>
      <c r="I40" s="25" t="n"/>
    </row>
    <row r="41" ht="26.85" customHeight="1" s="21">
      <c r="A41" s="23" t="inlineStr">
        <is>
          <t>BS</t>
        </is>
      </c>
      <c r="B41" s="27" t="inlineStr">
        <is>
          <t>流動負債</t>
        </is>
      </c>
      <c r="C41" s="27" t="inlineStr">
        <is>
          <t>返金負債</t>
        </is>
      </c>
      <c r="D41" s="27" t="inlineStr">
        <is>
          <t>返金負債</t>
        </is>
      </c>
      <c r="E41" s="28" t="n">
        <v>722155</v>
      </c>
      <c r="F41" s="28" t="n">
        <v>672453</v>
      </c>
      <c r="G41" s="27" t="inlineStr">
        <is>
          <t>上場企業特有</t>
        </is>
      </c>
      <c r="H41" s="23" t="inlineStr">
        <is>
          <t>p.92</t>
        </is>
      </c>
      <c r="I41" s="25" t="inlineStr">
        <is>
          <t>リベート等の見積り。中小企業では未払金・売上値引等で処理されることが多い</t>
        </is>
      </c>
    </row>
    <row r="42" ht="15" customHeight="1" s="21">
      <c r="A42" s="23" t="inlineStr">
        <is>
          <t>BS</t>
        </is>
      </c>
      <c r="B42" s="27" t="inlineStr">
        <is>
          <t>流動負債</t>
        </is>
      </c>
      <c r="C42" s="27" t="inlineStr">
        <is>
          <t>未払法人税等</t>
        </is>
      </c>
      <c r="D42" s="27" t="inlineStr">
        <is>
          <t>未払法人税等</t>
        </is>
      </c>
      <c r="E42" s="28" t="n">
        <v>138907</v>
      </c>
      <c r="F42" s="28" t="n">
        <v>432471</v>
      </c>
      <c r="G42" s="27" t="inlineStr">
        <is>
          <t>対応</t>
        </is>
      </c>
      <c r="H42" s="23" t="inlineStr">
        <is>
          <t>p.92</t>
        </is>
      </c>
      <c r="I42" s="25" t="n"/>
    </row>
    <row r="43" ht="15" customHeight="1" s="21">
      <c r="A43" s="23" t="inlineStr">
        <is>
          <t>BS</t>
        </is>
      </c>
      <c r="B43" s="27" t="inlineStr">
        <is>
          <t>流動負債</t>
        </is>
      </c>
      <c r="C43" s="27" t="inlineStr">
        <is>
          <t>未払消費税</t>
        </is>
      </c>
      <c r="D43" s="27" t="inlineStr">
        <is>
          <t>未払消費税等</t>
        </is>
      </c>
      <c r="E43" s="28" t="n">
        <v>54905</v>
      </c>
      <c r="F43" s="28" t="n">
        <v>0</v>
      </c>
      <c r="G43" s="27" t="inlineStr">
        <is>
          <t>名称のみ相違</t>
        </is>
      </c>
      <c r="H43" s="23" t="inlineStr">
        <is>
          <t>p.92</t>
        </is>
      </c>
      <c r="I43" s="25" t="n"/>
    </row>
    <row r="44" ht="15" customHeight="1" s="21">
      <c r="A44" s="23" t="inlineStr">
        <is>
          <t>BS</t>
        </is>
      </c>
      <c r="B44" s="27" t="inlineStr">
        <is>
          <t>流動負債</t>
        </is>
      </c>
      <c r="C44" s="27" t="inlineStr">
        <is>
          <t>預り金</t>
        </is>
      </c>
      <c r="D44" s="27" t="inlineStr">
        <is>
          <t>預り金</t>
        </is>
      </c>
      <c r="E44" s="28" t="n">
        <v>24736</v>
      </c>
      <c r="F44" s="28" t="n">
        <v>27816</v>
      </c>
      <c r="G44" s="27" t="inlineStr">
        <is>
          <t>対応</t>
        </is>
      </c>
      <c r="H44" s="23" t="inlineStr">
        <is>
          <t>p.92</t>
        </is>
      </c>
      <c r="I44" s="25" t="n"/>
    </row>
    <row r="45" ht="15" customHeight="1" s="21">
      <c r="A45" s="23" t="inlineStr">
        <is>
          <t>BS</t>
        </is>
      </c>
      <c r="B45" s="27" t="inlineStr">
        <is>
          <t>流動負債</t>
        </is>
      </c>
      <c r="C45" s="27" t="inlineStr">
        <is>
          <t>前受収益</t>
        </is>
      </c>
      <c r="D45" s="27" t="inlineStr">
        <is>
          <t>前受収益</t>
        </is>
      </c>
      <c r="E45" s="28" t="n">
        <v>300</v>
      </c>
      <c r="F45" s="28" t="n">
        <v>345</v>
      </c>
      <c r="G45" s="27" t="inlineStr">
        <is>
          <t>対応</t>
        </is>
      </c>
      <c r="H45" s="23" t="inlineStr">
        <is>
          <t>p.92</t>
        </is>
      </c>
      <c r="I45" s="25" t="n"/>
    </row>
    <row r="46" ht="15" customHeight="1" s="21">
      <c r="A46" s="23" t="inlineStr">
        <is>
          <t>BS</t>
        </is>
      </c>
      <c r="B46" s="27" t="inlineStr">
        <is>
          <t>流動負債</t>
        </is>
      </c>
      <c r="C46" s="27" t="inlineStr">
        <is>
          <t>賞与引当金</t>
        </is>
      </c>
      <c r="D46" s="27" t="inlineStr">
        <is>
          <t>賞与引当金</t>
        </is>
      </c>
      <c r="E46" s="28" t="n">
        <v>523839</v>
      </c>
      <c r="F46" s="28" t="n">
        <v>547559</v>
      </c>
      <c r="G46" s="27" t="inlineStr">
        <is>
          <t>対応</t>
        </is>
      </c>
      <c r="H46" s="23" t="inlineStr">
        <is>
          <t>p.92</t>
        </is>
      </c>
      <c r="I46" s="25" t="n"/>
    </row>
    <row r="47" ht="15" customHeight="1" s="21">
      <c r="A47" s="23" t="inlineStr">
        <is>
          <t>BS</t>
        </is>
      </c>
      <c r="B47" s="27" t="inlineStr">
        <is>
          <t>流動負債</t>
        </is>
      </c>
      <c r="C47" s="27" t="inlineStr">
        <is>
          <t>その他流動負債</t>
        </is>
      </c>
      <c r="D47" s="27" t="inlineStr">
        <is>
          <t>その他</t>
        </is>
      </c>
      <c r="E47" s="28" t="n">
        <v>3580</v>
      </c>
      <c r="F47" s="28" t="n">
        <v>3301</v>
      </c>
      <c r="G47" s="27" t="inlineStr">
        <is>
          <t>統合表示</t>
        </is>
      </c>
      <c r="H47" s="23" t="inlineStr">
        <is>
          <t>p.92</t>
        </is>
      </c>
      <c r="I47" s="25" t="n"/>
    </row>
    <row r="48" ht="15" customHeight="1" s="21">
      <c r="A48" s="29" t="inlineStr">
        <is>
          <t>BS</t>
        </is>
      </c>
      <c r="B48" s="30" t="inlineStr">
        <is>
          <t>流動負債</t>
        </is>
      </c>
      <c r="C48" s="31" t="inlineStr">
        <is>
          <t>流動負債合計</t>
        </is>
      </c>
      <c r="D48" s="31" t="inlineStr">
        <is>
          <t>流動負債合計</t>
        </is>
      </c>
      <c r="E48" s="32" t="n">
        <v>4768912</v>
      </c>
      <c r="F48" s="32" t="n">
        <v>4674008</v>
      </c>
      <c r="G48" s="30" t="inlineStr">
        <is>
          <t>合計（検算用）</t>
        </is>
      </c>
      <c r="H48" s="29" t="inlineStr">
        <is>
          <t>p.92</t>
        </is>
      </c>
      <c r="I48" s="33" t="n"/>
    </row>
    <row r="49" ht="15" customHeight="1" s="21">
      <c r="A49" s="23" t="inlineStr">
        <is>
          <t>BS</t>
        </is>
      </c>
      <c r="B49" s="27" t="inlineStr">
        <is>
          <t>固定負債</t>
        </is>
      </c>
      <c r="C49" s="27" t="inlineStr">
        <is>
          <t>社債</t>
        </is>
      </c>
      <c r="D49" s="27" t="inlineStr">
        <is>
          <t>社債</t>
        </is>
      </c>
      <c r="E49" s="28" t="n">
        <v>206000</v>
      </c>
      <c r="F49" s="28" t="n">
        <v>103000</v>
      </c>
      <c r="G49" s="27" t="inlineStr">
        <is>
          <t>対応</t>
        </is>
      </c>
      <c r="H49" s="23" t="inlineStr">
        <is>
          <t>p.92</t>
        </is>
      </c>
      <c r="I49" s="25" t="n"/>
    </row>
    <row r="50" ht="15" customHeight="1" s="21">
      <c r="A50" s="23" t="inlineStr">
        <is>
          <t>BS</t>
        </is>
      </c>
      <c r="B50" s="27" t="inlineStr">
        <is>
          <t>固定負債</t>
        </is>
      </c>
      <c r="C50" s="27" t="inlineStr">
        <is>
          <t>長期借入金</t>
        </is>
      </c>
      <c r="D50" s="27" t="inlineStr">
        <is>
          <t>長期借入金</t>
        </is>
      </c>
      <c r="E50" s="28" t="n">
        <v>4532</v>
      </c>
      <c r="F50" s="28" t="n">
        <v>0</v>
      </c>
      <c r="G50" s="27" t="inlineStr">
        <is>
          <t>対応</t>
        </is>
      </c>
      <c r="H50" s="23" t="inlineStr">
        <is>
          <t>p.92</t>
        </is>
      </c>
      <c r="I50" s="25" t="n"/>
    </row>
    <row r="51" ht="15" customHeight="1" s="21">
      <c r="A51" s="23" t="inlineStr">
        <is>
          <t>BS</t>
        </is>
      </c>
      <c r="B51" s="27" t="inlineStr">
        <is>
          <t>固定負債</t>
        </is>
      </c>
      <c r="C51" s="27" t="inlineStr">
        <is>
          <t>長期預り保証金</t>
        </is>
      </c>
      <c r="D51" s="27" t="inlineStr">
        <is>
          <t>長期預り保証金</t>
        </is>
      </c>
      <c r="E51" s="28" t="n">
        <v>105187</v>
      </c>
      <c r="F51" s="28" t="n">
        <v>98431</v>
      </c>
      <c r="G51" s="27" t="inlineStr">
        <is>
          <t>対応</t>
        </is>
      </c>
      <c r="H51" s="23" t="inlineStr">
        <is>
          <t>p.92</t>
        </is>
      </c>
      <c r="I51" s="25" t="n"/>
    </row>
    <row r="52" ht="15" customHeight="1" s="21">
      <c r="A52" s="23" t="inlineStr">
        <is>
          <t>BS</t>
        </is>
      </c>
      <c r="B52" s="27" t="inlineStr">
        <is>
          <t>固定負債</t>
        </is>
      </c>
      <c r="C52" s="27" t="inlineStr">
        <is>
          <t>リース債務（固定）</t>
        </is>
      </c>
      <c r="D52" s="27" t="inlineStr">
        <is>
          <t>リース債務</t>
        </is>
      </c>
      <c r="E52" s="28" t="n">
        <v>50234</v>
      </c>
      <c r="F52" s="28" t="n">
        <v>51853</v>
      </c>
      <c r="G52" s="27" t="inlineStr">
        <is>
          <t>対応</t>
        </is>
      </c>
      <c r="H52" s="23" t="inlineStr">
        <is>
          <t>p.92</t>
        </is>
      </c>
      <c r="I52" s="25" t="n"/>
    </row>
    <row r="53" ht="15" customHeight="1" s="21">
      <c r="A53" s="23" t="inlineStr">
        <is>
          <t>BS</t>
        </is>
      </c>
      <c r="B53" s="27" t="inlineStr">
        <is>
          <t>固定負債</t>
        </is>
      </c>
      <c r="C53" s="27" t="inlineStr">
        <is>
          <t>退職給付引当金</t>
        </is>
      </c>
      <c r="D53" s="27" t="inlineStr">
        <is>
          <t>退職給付引当金</t>
        </is>
      </c>
      <c r="E53" s="28" t="n">
        <v>1277133</v>
      </c>
      <c r="F53" s="28" t="n">
        <v>1306696</v>
      </c>
      <c r="G53" s="27" t="inlineStr">
        <is>
          <t>対応</t>
        </is>
      </c>
      <c r="H53" s="23" t="inlineStr">
        <is>
          <t>p.92</t>
        </is>
      </c>
      <c r="I53" s="25" t="n"/>
    </row>
    <row r="54" ht="15" customHeight="1" s="21">
      <c r="A54" s="23" t="inlineStr">
        <is>
          <t>BS</t>
        </is>
      </c>
      <c r="B54" s="27" t="inlineStr">
        <is>
          <t>固定負債</t>
        </is>
      </c>
      <c r="C54" s="27" t="inlineStr">
        <is>
          <t>役員株式給付引当金</t>
        </is>
      </c>
      <c r="D54" s="27" t="inlineStr">
        <is>
          <t>役員株式給付引当金</t>
        </is>
      </c>
      <c r="E54" s="28" t="n">
        <v>51909</v>
      </c>
      <c r="F54" s="28" t="n">
        <v>67052</v>
      </c>
      <c r="G54" s="27" t="inlineStr">
        <is>
          <t>上場企業特有</t>
        </is>
      </c>
      <c r="H54" s="23" t="inlineStr">
        <is>
          <t>p.92</t>
        </is>
      </c>
      <c r="I54" s="25" t="n"/>
    </row>
    <row r="55" ht="15" customHeight="1" s="21">
      <c r="A55" s="23" t="inlineStr">
        <is>
          <t>BS</t>
        </is>
      </c>
      <c r="B55" s="27" t="inlineStr">
        <is>
          <t>固定負債</t>
        </is>
      </c>
      <c r="C55" s="27" t="inlineStr">
        <is>
          <t>繰延税金負債</t>
        </is>
      </c>
      <c r="D55" s="27" t="inlineStr">
        <is>
          <t>繰延税金負債</t>
        </is>
      </c>
      <c r="E55" s="28" t="n">
        <v>17086924</v>
      </c>
      <c r="F55" s="28" t="n">
        <v>17322399</v>
      </c>
      <c r="G55" s="27" t="inlineStr">
        <is>
          <t>上場企業特有</t>
        </is>
      </c>
      <c r="H55" s="23" t="inlineStr">
        <is>
          <t>p.92</t>
        </is>
      </c>
      <c r="I55" s="25" t="inlineStr">
        <is>
          <t>大半は株式含み益に係るもの。中小企業は税効果会計を通常適用しない</t>
        </is>
      </c>
    </row>
    <row r="56" ht="15" customHeight="1" s="21">
      <c r="A56" s="23" t="inlineStr">
        <is>
          <t>BS</t>
        </is>
      </c>
      <c r="B56" s="27" t="inlineStr">
        <is>
          <t>固定負債</t>
        </is>
      </c>
      <c r="C56" s="27" t="inlineStr">
        <is>
          <t>その他固定負債</t>
        </is>
      </c>
      <c r="D56" s="27" t="inlineStr">
        <is>
          <t>その他</t>
        </is>
      </c>
      <c r="E56" s="28" t="n">
        <v>98517</v>
      </c>
      <c r="F56" s="28" t="n">
        <v>113170</v>
      </c>
      <c r="G56" s="27" t="inlineStr">
        <is>
          <t>統合表示</t>
        </is>
      </c>
      <c r="H56" s="23" t="inlineStr">
        <is>
          <t>p.92</t>
        </is>
      </c>
      <c r="I56" s="25" t="n"/>
    </row>
    <row r="57" ht="15" customHeight="1" s="21">
      <c r="A57" s="29" t="inlineStr">
        <is>
          <t>BS</t>
        </is>
      </c>
      <c r="B57" s="30" t="inlineStr">
        <is>
          <t>固定負債</t>
        </is>
      </c>
      <c r="C57" s="31" t="inlineStr">
        <is>
          <t>固定負債合計</t>
        </is>
      </c>
      <c r="D57" s="31" t="inlineStr">
        <is>
          <t>固定負債合計</t>
        </is>
      </c>
      <c r="E57" s="32" t="n">
        <v>18880439</v>
      </c>
      <c r="F57" s="32" t="n">
        <v>19062604</v>
      </c>
      <c r="G57" s="30" t="inlineStr">
        <is>
          <t>合計（検算用）</t>
        </is>
      </c>
      <c r="H57" s="29" t="inlineStr">
        <is>
          <t>p.92</t>
        </is>
      </c>
      <c r="I57" s="33" t="n"/>
    </row>
    <row r="58" ht="15" customHeight="1" s="21">
      <c r="A58" s="29" t="inlineStr">
        <is>
          <t>BS</t>
        </is>
      </c>
      <c r="B58" s="30" t="inlineStr">
        <is>
          <t>負債</t>
        </is>
      </c>
      <c r="C58" s="31" t="inlineStr">
        <is>
          <t>負債合計</t>
        </is>
      </c>
      <c r="D58" s="31" t="inlineStr">
        <is>
          <t>負債合計</t>
        </is>
      </c>
      <c r="E58" s="32" t="n">
        <v>23649351</v>
      </c>
      <c r="F58" s="32" t="n">
        <v>23736614</v>
      </c>
      <c r="G58" s="30" t="inlineStr">
        <is>
          <t>合計（検算用）</t>
        </is>
      </c>
      <c r="H58" s="29" t="inlineStr">
        <is>
          <t>p.92</t>
        </is>
      </c>
      <c r="I58" s="33" t="n"/>
    </row>
    <row r="59" ht="15" customHeight="1" s="21">
      <c r="A59" s="23" t="inlineStr">
        <is>
          <t>BS</t>
        </is>
      </c>
      <c r="B59" s="27" t="inlineStr">
        <is>
          <t>純資産</t>
        </is>
      </c>
      <c r="C59" s="27" t="inlineStr">
        <is>
          <t>資本金</t>
        </is>
      </c>
      <c r="D59" s="27" t="inlineStr">
        <is>
          <t>資本金</t>
        </is>
      </c>
      <c r="E59" s="28" t="n">
        <v>1683793</v>
      </c>
      <c r="F59" s="28" t="n">
        <v>1683793</v>
      </c>
      <c r="G59" s="27" t="inlineStr">
        <is>
          <t>対応</t>
        </is>
      </c>
      <c r="H59" s="23" t="inlineStr">
        <is>
          <t>p.92</t>
        </is>
      </c>
      <c r="I59" s="25" t="n"/>
    </row>
    <row r="60" ht="15" customHeight="1" s="21">
      <c r="A60" s="23" t="inlineStr">
        <is>
          <t>BS</t>
        </is>
      </c>
      <c r="B60" s="27" t="inlineStr">
        <is>
          <t>純資産</t>
        </is>
      </c>
      <c r="C60" s="27" t="inlineStr">
        <is>
          <t>資本準備金</t>
        </is>
      </c>
      <c r="D60" s="27" t="inlineStr">
        <is>
          <t>資本準備金</t>
        </is>
      </c>
      <c r="E60" s="28" t="n">
        <v>1915028</v>
      </c>
      <c r="F60" s="28" t="n">
        <v>1915028</v>
      </c>
      <c r="G60" s="27" t="inlineStr">
        <is>
          <t>対応</t>
        </is>
      </c>
      <c r="H60" s="23" t="inlineStr">
        <is>
          <t>p.92</t>
        </is>
      </c>
      <c r="I60" s="25" t="n"/>
    </row>
    <row r="61" ht="15" customHeight="1" s="21">
      <c r="A61" s="23" t="inlineStr">
        <is>
          <t>BS</t>
        </is>
      </c>
      <c r="B61" s="27" t="inlineStr">
        <is>
          <t>純資産</t>
        </is>
      </c>
      <c r="C61" s="27" t="inlineStr">
        <is>
          <t>利益準備金</t>
        </is>
      </c>
      <c r="D61" s="27" t="inlineStr">
        <is>
          <t>利益準備金</t>
        </is>
      </c>
      <c r="E61" s="28" t="n">
        <v>104480</v>
      </c>
      <c r="F61" s="28" t="n">
        <v>104480</v>
      </c>
      <c r="G61" s="27" t="inlineStr">
        <is>
          <t>対応</t>
        </is>
      </c>
      <c r="H61" s="23" t="inlineStr">
        <is>
          <t>p.92</t>
        </is>
      </c>
      <c r="I61" s="25" t="n"/>
    </row>
    <row r="62" ht="15" customHeight="1" s="21">
      <c r="A62" s="23" t="inlineStr">
        <is>
          <t>BS</t>
        </is>
      </c>
      <c r="B62" s="27" t="inlineStr">
        <is>
          <t>純資産</t>
        </is>
      </c>
      <c r="C62" s="27" t="inlineStr">
        <is>
          <t>別途積立金</t>
        </is>
      </c>
      <c r="D62" s="27" t="inlineStr">
        <is>
          <t>別途積立金</t>
        </is>
      </c>
      <c r="E62" s="28" t="n">
        <v>22847460</v>
      </c>
      <c r="F62" s="28" t="n">
        <v>25370960</v>
      </c>
      <c r="G62" s="27" t="inlineStr">
        <is>
          <t>対応</t>
        </is>
      </c>
      <c r="H62" s="23" t="inlineStr">
        <is>
          <t>p.92</t>
        </is>
      </c>
      <c r="I62" s="25" t="n"/>
    </row>
    <row r="63" ht="15" customHeight="1" s="21">
      <c r="A63" s="23" t="inlineStr">
        <is>
          <t>BS</t>
        </is>
      </c>
      <c r="B63" s="27" t="inlineStr">
        <is>
          <t>純資産</t>
        </is>
      </c>
      <c r="C63" s="27" t="inlineStr">
        <is>
          <t>繰越利益剰余金</t>
        </is>
      </c>
      <c r="D63" s="27" t="inlineStr">
        <is>
          <t>繰越利益剰余金</t>
        </is>
      </c>
      <c r="E63" s="28" t="n">
        <v>2853922</v>
      </c>
      <c r="F63" s="28" t="n">
        <v>1876911</v>
      </c>
      <c r="G63" s="27" t="inlineStr">
        <is>
          <t>対応</t>
        </is>
      </c>
      <c r="H63" s="23" t="inlineStr">
        <is>
          <t>p.92</t>
        </is>
      </c>
      <c r="I63" s="25" t="n"/>
    </row>
    <row r="64" ht="15" customHeight="1" s="21">
      <c r="A64" s="29" t="inlineStr">
        <is>
          <t>BS</t>
        </is>
      </c>
      <c r="B64" s="30" t="inlineStr">
        <is>
          <t>純資産</t>
        </is>
      </c>
      <c r="C64" s="31" t="inlineStr">
        <is>
          <t>利益剰余金合計</t>
        </is>
      </c>
      <c r="D64" s="31" t="inlineStr">
        <is>
          <t>利益剰余金合計</t>
        </is>
      </c>
      <c r="E64" s="32" t="n">
        <v>25805863</v>
      </c>
      <c r="F64" s="32" t="n">
        <v>27352351</v>
      </c>
      <c r="G64" s="30" t="inlineStr">
        <is>
          <t>合計（検算用）</t>
        </is>
      </c>
      <c r="H64" s="29" t="inlineStr">
        <is>
          <t>p.92</t>
        </is>
      </c>
      <c r="I64" s="33" t="n"/>
    </row>
    <row r="65" ht="15" customHeight="1" s="21">
      <c r="A65" s="23" t="inlineStr">
        <is>
          <t>BS</t>
        </is>
      </c>
      <c r="B65" s="27" t="inlineStr">
        <is>
          <t>純資産</t>
        </is>
      </c>
      <c r="C65" s="27" t="inlineStr">
        <is>
          <t>自己株式</t>
        </is>
      </c>
      <c r="D65" s="27" t="inlineStr">
        <is>
          <t>自己株式</t>
        </is>
      </c>
      <c r="E65" s="28" t="n">
        <v>-3232515</v>
      </c>
      <c r="F65" s="28" t="n">
        <v>-3677072</v>
      </c>
      <c r="G65" s="27" t="inlineStr">
        <is>
          <t>上場企業特有</t>
        </is>
      </c>
      <c r="H65" s="23" t="inlineStr">
        <is>
          <t>p.92</t>
        </is>
      </c>
      <c r="I65" s="25" t="n"/>
    </row>
    <row r="66" ht="15" customHeight="1" s="21">
      <c r="A66" s="29" t="inlineStr">
        <is>
          <t>BS</t>
        </is>
      </c>
      <c r="B66" s="30" t="inlineStr">
        <is>
          <t>純資産</t>
        </is>
      </c>
      <c r="C66" s="31" t="inlineStr">
        <is>
          <t>株主資本合計</t>
        </is>
      </c>
      <c r="D66" s="31" t="inlineStr">
        <is>
          <t>株主資本合計</t>
        </is>
      </c>
      <c r="E66" s="32" t="n">
        <v>26172168</v>
      </c>
      <c r="F66" s="32" t="n">
        <v>27274099</v>
      </c>
      <c r="G66" s="30" t="inlineStr">
        <is>
          <t>合計（検算用）</t>
        </is>
      </c>
      <c r="H66" s="29" t="inlineStr">
        <is>
          <t>p.92</t>
        </is>
      </c>
      <c r="I66" s="33" t="n"/>
    </row>
    <row r="67" ht="15" customHeight="1" s="21">
      <c r="A67" s="23" t="inlineStr">
        <is>
          <t>BS</t>
        </is>
      </c>
      <c r="B67" s="27" t="inlineStr">
        <is>
          <t>純資産</t>
        </is>
      </c>
      <c r="C67" s="27" t="inlineStr">
        <is>
          <t>評価差額金</t>
        </is>
      </c>
      <c r="D67" s="27" t="inlineStr">
        <is>
          <t>その他有価証券評価差額金</t>
        </is>
      </c>
      <c r="E67" s="28" t="n">
        <v>42698072</v>
      </c>
      <c r="F67" s="28" t="n">
        <v>43279758</v>
      </c>
      <c r="G67" s="27" t="inlineStr">
        <is>
          <t>上場企業特有</t>
        </is>
      </c>
      <c r="H67" s="23" t="inlineStr">
        <is>
          <t>p.92</t>
        </is>
      </c>
      <c r="I67" s="25" t="inlineStr">
        <is>
          <t>時価評価を原資料どおり保持（方針）</t>
        </is>
      </c>
    </row>
    <row r="68" ht="15" customHeight="1" s="21">
      <c r="A68" s="29" t="inlineStr">
        <is>
          <t>BS</t>
        </is>
      </c>
      <c r="B68" s="30" t="inlineStr">
        <is>
          <t>純資産</t>
        </is>
      </c>
      <c r="C68" s="31" t="inlineStr">
        <is>
          <t>純資産合計</t>
        </is>
      </c>
      <c r="D68" s="31" t="inlineStr">
        <is>
          <t>純資産合計</t>
        </is>
      </c>
      <c r="E68" s="32" t="n">
        <v>68870241</v>
      </c>
      <c r="F68" s="32" t="n">
        <v>70553858</v>
      </c>
      <c r="G68" s="30" t="inlineStr">
        <is>
          <t>合計（検算用）</t>
        </is>
      </c>
      <c r="H68" s="29" t="inlineStr">
        <is>
          <t>p.92</t>
        </is>
      </c>
      <c r="I68" s="33" t="n"/>
    </row>
    <row r="69" ht="15" customHeight="1" s="21">
      <c r="A69" s="29" t="inlineStr">
        <is>
          <t>BS</t>
        </is>
      </c>
      <c r="B69" s="30" t="inlineStr">
        <is>
          <t>負債純資産</t>
        </is>
      </c>
      <c r="C69" s="31" t="inlineStr">
        <is>
          <t>負債純資産合計</t>
        </is>
      </c>
      <c r="D69" s="31" t="inlineStr">
        <is>
          <t>負債純資産合計</t>
        </is>
      </c>
      <c r="E69" s="32" t="n">
        <v>92519592</v>
      </c>
      <c r="F69" s="32" t="n">
        <v>94290472</v>
      </c>
      <c r="G69" s="30" t="inlineStr">
        <is>
          <t>合計（検算用）</t>
        </is>
      </c>
      <c r="H69" s="29" t="inlineStr">
        <is>
          <t>p.92</t>
        </is>
      </c>
      <c r="I69" s="33" t="n"/>
    </row>
    <row r="70" ht="15" customHeight="1" s="21">
      <c r="A70" s="23" t="inlineStr">
        <is>
          <t>PL</t>
        </is>
      </c>
      <c r="B70" s="27" t="inlineStr">
        <is>
          <t>売上</t>
        </is>
      </c>
      <c r="C70" s="27" t="inlineStr">
        <is>
          <t>売上高</t>
        </is>
      </c>
      <c r="D70" s="27" t="inlineStr">
        <is>
          <t>売上高</t>
        </is>
      </c>
      <c r="E70" s="28" t="n">
        <v>24298452</v>
      </c>
      <c r="F70" s="28" t="n">
        <v>28148648</v>
      </c>
      <c r="G70" s="27" t="inlineStr">
        <is>
          <t>対応</t>
        </is>
      </c>
      <c r="H70" s="23" t="inlineStr">
        <is>
          <t>p.93</t>
        </is>
      </c>
      <c r="I70" s="25" t="n"/>
    </row>
    <row r="71" ht="15" customHeight="1" s="21">
      <c r="A71" s="23" t="inlineStr">
        <is>
          <t>PL</t>
        </is>
      </c>
      <c r="B71" s="27" t="inlineStr">
        <is>
          <t>売上原価</t>
        </is>
      </c>
      <c r="C71" s="27" t="inlineStr">
        <is>
          <t>売上原価</t>
        </is>
      </c>
      <c r="D71" s="27" t="inlineStr">
        <is>
          <t>売上原価</t>
        </is>
      </c>
      <c r="E71" s="28" t="n">
        <v>18449243</v>
      </c>
      <c r="F71" s="28" t="n">
        <v>22045670</v>
      </c>
      <c r="G71" s="27" t="inlineStr">
        <is>
          <t>対応</t>
        </is>
      </c>
      <c r="H71" s="23" t="inlineStr">
        <is>
          <t>p.93</t>
        </is>
      </c>
      <c r="I71" s="25" t="inlineStr">
        <is>
          <t>内訳は製造原価明細書の調整表</t>
        </is>
      </c>
    </row>
    <row r="72" ht="15" customHeight="1" s="21">
      <c r="A72" s="29" t="inlineStr">
        <is>
          <t>PL</t>
        </is>
      </c>
      <c r="B72" s="30" t="inlineStr">
        <is>
          <t>利益</t>
        </is>
      </c>
      <c r="C72" s="31" t="inlineStr">
        <is>
          <t>売上総利益</t>
        </is>
      </c>
      <c r="D72" s="31" t="inlineStr">
        <is>
          <t>売上総利益</t>
        </is>
      </c>
      <c r="E72" s="32" t="n">
        <v>5849209</v>
      </c>
      <c r="F72" s="32" t="n">
        <v>6102978</v>
      </c>
      <c r="G72" s="30" t="inlineStr">
        <is>
          <t>合計（検算用）</t>
        </is>
      </c>
      <c r="H72" s="29" t="inlineStr">
        <is>
          <t>p.93</t>
        </is>
      </c>
      <c r="I72" s="33" t="n"/>
    </row>
    <row r="73" ht="15" customHeight="1" s="21">
      <c r="A73" s="23" t="inlineStr">
        <is>
          <t>PL</t>
        </is>
      </c>
      <c r="B73" s="27" t="inlineStr">
        <is>
          <t>販管費</t>
        </is>
      </c>
      <c r="C73" s="27" t="inlineStr">
        <is>
          <t>販売費</t>
        </is>
      </c>
      <c r="D73" s="27" t="inlineStr">
        <is>
          <t>販売費</t>
        </is>
      </c>
      <c r="E73" s="28" t="n">
        <v>3681885</v>
      </c>
      <c r="F73" s="28" t="n">
        <v>3811305</v>
      </c>
      <c r="G73" s="27" t="inlineStr">
        <is>
          <t>対応</t>
        </is>
      </c>
      <c r="H73" s="23" t="inlineStr">
        <is>
          <t>p.93</t>
        </is>
      </c>
      <c r="I73" s="25" t="inlineStr">
        <is>
          <t>細目は注記（p.98以降）で要確認</t>
        </is>
      </c>
    </row>
    <row r="74" ht="15" customHeight="1" s="21">
      <c r="A74" s="23" t="inlineStr">
        <is>
          <t>PL</t>
        </is>
      </c>
      <c r="B74" s="27" t="inlineStr">
        <is>
          <t>販管費</t>
        </is>
      </c>
      <c r="C74" s="27" t="inlineStr">
        <is>
          <t>一般管理費</t>
        </is>
      </c>
      <c r="D74" s="27" t="inlineStr">
        <is>
          <t>一般管理費</t>
        </is>
      </c>
      <c r="E74" s="28" t="n">
        <v>1520867</v>
      </c>
      <c r="F74" s="28" t="n">
        <v>1643033</v>
      </c>
      <c r="G74" s="27" t="inlineStr">
        <is>
          <t>対応</t>
        </is>
      </c>
      <c r="H74" s="23" t="inlineStr">
        <is>
          <t>p.93</t>
        </is>
      </c>
      <c r="I74" s="25" t="n"/>
    </row>
    <row r="75" ht="15" customHeight="1" s="21">
      <c r="A75" s="29" t="inlineStr">
        <is>
          <t>PL</t>
        </is>
      </c>
      <c r="B75" s="30" t="inlineStr">
        <is>
          <t>販管費</t>
        </is>
      </c>
      <c r="C75" s="31" t="inlineStr">
        <is>
          <t>販管費合計</t>
        </is>
      </c>
      <c r="D75" s="31" t="inlineStr">
        <is>
          <t>販売費及び一般管理費合計</t>
        </is>
      </c>
      <c r="E75" s="32" t="n">
        <v>5202754</v>
      </c>
      <c r="F75" s="32" t="n">
        <v>5454338</v>
      </c>
      <c r="G75" s="30" t="inlineStr">
        <is>
          <t>合計（検算用）</t>
        </is>
      </c>
      <c r="H75" s="29" t="inlineStr">
        <is>
          <t>p.93</t>
        </is>
      </c>
      <c r="I75" s="33" t="n"/>
    </row>
    <row r="76" ht="15" customHeight="1" s="21">
      <c r="A76" s="29" t="inlineStr">
        <is>
          <t>PL</t>
        </is>
      </c>
      <c r="B76" s="30" t="inlineStr">
        <is>
          <t>利益</t>
        </is>
      </c>
      <c r="C76" s="31" t="inlineStr">
        <is>
          <t>営業利益</t>
        </is>
      </c>
      <c r="D76" s="31" t="inlineStr">
        <is>
          <t>営業利益</t>
        </is>
      </c>
      <c r="E76" s="32" t="n">
        <v>646455</v>
      </c>
      <c r="F76" s="32" t="n">
        <v>648638</v>
      </c>
      <c r="G76" s="30" t="inlineStr">
        <is>
          <t>合計（検算用）</t>
        </is>
      </c>
      <c r="H76" s="29" t="inlineStr">
        <is>
          <t>p.93</t>
        </is>
      </c>
      <c r="I76" s="33" t="n"/>
    </row>
    <row r="77" ht="15" customHeight="1" s="21">
      <c r="A77" s="23" t="inlineStr">
        <is>
          <t>PL</t>
        </is>
      </c>
      <c r="B77" s="27" t="inlineStr">
        <is>
          <t>営業外収益</t>
        </is>
      </c>
      <c r="C77" s="27" t="inlineStr">
        <is>
          <t>受取利息</t>
        </is>
      </c>
      <c r="D77" s="27" t="inlineStr">
        <is>
          <t>受取利息</t>
        </is>
      </c>
      <c r="E77" s="28" t="n">
        <v>1815</v>
      </c>
      <c r="F77" s="28" t="n">
        <v>3164</v>
      </c>
      <c r="G77" s="27" t="inlineStr">
        <is>
          <t>対応</t>
        </is>
      </c>
      <c r="H77" s="23" t="inlineStr">
        <is>
          <t>p.93</t>
        </is>
      </c>
      <c r="I77" s="25" t="n"/>
    </row>
    <row r="78" ht="15" customHeight="1" s="21">
      <c r="A78" s="23" t="inlineStr">
        <is>
          <t>PL</t>
        </is>
      </c>
      <c r="B78" s="27" t="inlineStr">
        <is>
          <t>営業外収益</t>
        </is>
      </c>
      <c r="C78" s="27" t="inlineStr">
        <is>
          <t>受取配当金</t>
        </is>
      </c>
      <c r="D78" s="27" t="inlineStr">
        <is>
          <t>受取配当金</t>
        </is>
      </c>
      <c r="E78" s="28" t="n">
        <v>2954604</v>
      </c>
      <c r="F78" s="28" t="n">
        <v>1908653</v>
      </c>
      <c r="G78" s="27" t="inlineStr">
        <is>
          <t>対応</t>
        </is>
      </c>
      <c r="H78" s="23" t="inlineStr">
        <is>
          <t>p.93</t>
        </is>
      </c>
      <c r="I78" s="25" t="inlineStr">
        <is>
          <t>大半が旺旺集団からの配当（連結ベースで当期1,843百万円：p.24）</t>
        </is>
      </c>
    </row>
    <row r="79" ht="15" customHeight="1" s="21">
      <c r="A79" s="23" t="inlineStr">
        <is>
          <t>PL</t>
        </is>
      </c>
      <c r="B79" s="27" t="inlineStr">
        <is>
          <t>営業外収益</t>
        </is>
      </c>
      <c r="C79" s="27" t="inlineStr">
        <is>
          <t>雑収入</t>
        </is>
      </c>
      <c r="D79" s="27" t="inlineStr">
        <is>
          <t>その他</t>
        </is>
      </c>
      <c r="E79" s="28" t="n">
        <v>311259</v>
      </c>
      <c r="F79" s="28" t="n">
        <v>145589</v>
      </c>
      <c r="G79" s="27" t="inlineStr">
        <is>
          <t>名称のみ相違</t>
        </is>
      </c>
      <c r="H79" s="23" t="inlineStr">
        <is>
          <t>p.93</t>
        </is>
      </c>
      <c r="I79" s="25" t="n"/>
    </row>
    <row r="80" ht="15" customHeight="1" s="21">
      <c r="A80" s="29" t="inlineStr">
        <is>
          <t>PL</t>
        </is>
      </c>
      <c r="B80" s="30" t="inlineStr">
        <is>
          <t>営業外収益</t>
        </is>
      </c>
      <c r="C80" s="31" t="inlineStr">
        <is>
          <t>営業外収益合計</t>
        </is>
      </c>
      <c r="D80" s="31" t="inlineStr">
        <is>
          <t>営業外収益合計</t>
        </is>
      </c>
      <c r="E80" s="32" t="n">
        <v>3267679</v>
      </c>
      <c r="F80" s="32" t="n">
        <v>2057407</v>
      </c>
      <c r="G80" s="30" t="inlineStr">
        <is>
          <t>合計（検算用）</t>
        </is>
      </c>
      <c r="H80" s="29" t="inlineStr">
        <is>
          <t>p.93</t>
        </is>
      </c>
      <c r="I80" s="33" t="n"/>
    </row>
    <row r="81" ht="15" customHeight="1" s="21">
      <c r="A81" s="23" t="inlineStr">
        <is>
          <t>PL</t>
        </is>
      </c>
      <c r="B81" s="27" t="inlineStr">
        <is>
          <t>営業外費用</t>
        </is>
      </c>
      <c r="C81" s="27" t="inlineStr">
        <is>
          <t>支払利息</t>
        </is>
      </c>
      <c r="D81" s="27" t="inlineStr">
        <is>
          <t>支払利息</t>
        </is>
      </c>
      <c r="E81" s="28" t="n">
        <v>5851</v>
      </c>
      <c r="F81" s="28" t="n">
        <v>3353</v>
      </c>
      <c r="G81" s="27" t="inlineStr">
        <is>
          <t>対応</t>
        </is>
      </c>
      <c r="H81" s="23" t="inlineStr">
        <is>
          <t>p.93</t>
        </is>
      </c>
      <c r="I81" s="25" t="n"/>
    </row>
    <row r="82" ht="15" customHeight="1" s="21">
      <c r="A82" s="23" t="inlineStr">
        <is>
          <t>PL</t>
        </is>
      </c>
      <c r="B82" s="27" t="inlineStr">
        <is>
          <t>営業外費用</t>
        </is>
      </c>
      <c r="C82" s="27" t="inlineStr">
        <is>
          <t>貸倒引当金繰入額</t>
        </is>
      </c>
      <c r="D82" s="27" t="inlineStr">
        <is>
          <t>貸倒引当金繰入額</t>
        </is>
      </c>
      <c r="E82" s="28" t="n">
        <v>0</v>
      </c>
      <c r="F82" s="28" t="n">
        <v>2586</v>
      </c>
      <c r="G82" s="27" t="inlineStr">
        <is>
          <t>対応</t>
        </is>
      </c>
      <c r="H82" s="23" t="inlineStr">
        <is>
          <t>p.93</t>
        </is>
      </c>
      <c r="I82" s="25" t="n"/>
    </row>
    <row r="83" ht="15" customHeight="1" s="21">
      <c r="A83" s="23" t="inlineStr">
        <is>
          <t>PL</t>
        </is>
      </c>
      <c r="B83" s="27" t="inlineStr">
        <is>
          <t>営業外費用</t>
        </is>
      </c>
      <c r="C83" s="27" t="inlineStr">
        <is>
          <t>休止固定資産減価償却費</t>
        </is>
      </c>
      <c r="D83" s="27" t="inlineStr">
        <is>
          <t>休止固定資産減価償却費</t>
        </is>
      </c>
      <c r="E83" s="28" t="n">
        <v>4935</v>
      </c>
      <c r="F83" s="28" t="n">
        <v>9716</v>
      </c>
      <c r="G83" s="27" t="inlineStr">
        <is>
          <t>対応</t>
        </is>
      </c>
      <c r="H83" s="23" t="inlineStr">
        <is>
          <t>p.93</t>
        </is>
      </c>
      <c r="I83" s="25" t="inlineStr">
        <is>
          <t>標準科目に追加候補</t>
        </is>
      </c>
    </row>
    <row r="84" ht="15" customHeight="1" s="21">
      <c r="A84" s="23" t="inlineStr">
        <is>
          <t>PL</t>
        </is>
      </c>
      <c r="B84" s="27" t="inlineStr">
        <is>
          <t>営業外費用</t>
        </is>
      </c>
      <c r="C84" s="27" t="inlineStr">
        <is>
          <t>雑損失</t>
        </is>
      </c>
      <c r="D84" s="27" t="inlineStr">
        <is>
          <t>その他</t>
        </is>
      </c>
      <c r="E84" s="28" t="n">
        <v>1805</v>
      </c>
      <c r="F84" s="28" t="n">
        <v>2026</v>
      </c>
      <c r="G84" s="27" t="inlineStr">
        <is>
          <t>名称のみ相違</t>
        </is>
      </c>
      <c r="H84" s="23" t="inlineStr">
        <is>
          <t>p.93</t>
        </is>
      </c>
      <c r="I84" s="25" t="n"/>
    </row>
    <row r="85" ht="15" customHeight="1" s="21">
      <c r="A85" s="29" t="inlineStr">
        <is>
          <t>PL</t>
        </is>
      </c>
      <c r="B85" s="30" t="inlineStr">
        <is>
          <t>営業外費用</t>
        </is>
      </c>
      <c r="C85" s="31" t="inlineStr">
        <is>
          <t>営業外費用合計</t>
        </is>
      </c>
      <c r="D85" s="31" t="inlineStr">
        <is>
          <t>営業外費用合計</t>
        </is>
      </c>
      <c r="E85" s="32" t="n">
        <v>12592</v>
      </c>
      <c r="F85" s="32" t="n">
        <v>17682</v>
      </c>
      <c r="G85" s="30" t="inlineStr">
        <is>
          <t>合計（検算用）</t>
        </is>
      </c>
      <c r="H85" s="29" t="inlineStr">
        <is>
          <t>p.93</t>
        </is>
      </c>
      <c r="I85" s="33" t="n"/>
    </row>
    <row r="86" ht="15" customHeight="1" s="21">
      <c r="A86" s="29" t="inlineStr">
        <is>
          <t>PL</t>
        </is>
      </c>
      <c r="B86" s="30" t="inlineStr">
        <is>
          <t>利益</t>
        </is>
      </c>
      <c r="C86" s="31" t="inlineStr">
        <is>
          <t>経常利益</t>
        </is>
      </c>
      <c r="D86" s="31" t="inlineStr">
        <is>
          <t>経常利益</t>
        </is>
      </c>
      <c r="E86" s="32" t="n">
        <v>3901542</v>
      </c>
      <c r="F86" s="32" t="n">
        <v>2688365</v>
      </c>
      <c r="G86" s="30" t="inlineStr">
        <is>
          <t>合計（検算用）</t>
        </is>
      </c>
      <c r="H86" s="29" t="inlineStr">
        <is>
          <t>p.93</t>
        </is>
      </c>
      <c r="I86" s="33" t="n"/>
    </row>
    <row r="87" ht="15" customHeight="1" s="21">
      <c r="A87" s="23" t="inlineStr">
        <is>
          <t>PL</t>
        </is>
      </c>
      <c r="B87" s="27" t="inlineStr">
        <is>
          <t>特別利益</t>
        </is>
      </c>
      <c r="C87" s="27" t="inlineStr">
        <is>
          <t>固定資産売却益</t>
        </is>
      </c>
      <c r="D87" s="27" t="inlineStr">
        <is>
          <t>固定資産売却益</t>
        </is>
      </c>
      <c r="E87" s="28" t="n">
        <v>226</v>
      </c>
      <c r="F87" s="28" t="n">
        <v>627</v>
      </c>
      <c r="G87" s="27" t="inlineStr">
        <is>
          <t>対応</t>
        </is>
      </c>
      <c r="H87" s="23" t="inlineStr">
        <is>
          <t>p.93</t>
        </is>
      </c>
      <c r="I87" s="25" t="n"/>
    </row>
    <row r="88" ht="15" customHeight="1" s="21">
      <c r="A88" s="23" t="inlineStr">
        <is>
          <t>PL</t>
        </is>
      </c>
      <c r="B88" s="27" t="inlineStr">
        <is>
          <t>特別利益</t>
        </is>
      </c>
      <c r="C88" s="27" t="inlineStr">
        <is>
          <t>投資有価証券売却益</t>
        </is>
      </c>
      <c r="D88" s="27" t="inlineStr">
        <is>
          <t>投資有価証券売却益</t>
        </is>
      </c>
      <c r="E88" s="28" t="n">
        <v>0</v>
      </c>
      <c r="F88" s="28" t="n">
        <v>51260</v>
      </c>
      <c r="G88" s="27" t="inlineStr">
        <is>
          <t>対応</t>
        </is>
      </c>
      <c r="H88" s="23" t="inlineStr">
        <is>
          <t>p.93</t>
        </is>
      </c>
      <c r="I88" s="25" t="n"/>
    </row>
    <row r="89" ht="15" customHeight="1" s="21">
      <c r="A89" s="29" t="inlineStr">
        <is>
          <t>PL</t>
        </is>
      </c>
      <c r="B89" s="30" t="inlineStr">
        <is>
          <t>特別利益</t>
        </is>
      </c>
      <c r="C89" s="31" t="inlineStr">
        <is>
          <t>特別利益合計</t>
        </is>
      </c>
      <c r="D89" s="31" t="inlineStr">
        <is>
          <t>特別利益合計</t>
        </is>
      </c>
      <c r="E89" s="32" t="n">
        <v>226</v>
      </c>
      <c r="F89" s="32" t="n">
        <v>51888</v>
      </c>
      <c r="G89" s="30" t="inlineStr">
        <is>
          <t>合計（検算用）</t>
        </is>
      </c>
      <c r="H89" s="29" t="inlineStr">
        <is>
          <t>p.93</t>
        </is>
      </c>
      <c r="I89" s="33" t="n"/>
    </row>
    <row r="90" ht="15" customHeight="1" s="21">
      <c r="A90" s="23" t="inlineStr">
        <is>
          <t>PL</t>
        </is>
      </c>
      <c r="B90" s="27" t="inlineStr">
        <is>
          <t>特別損失</t>
        </is>
      </c>
      <c r="C90" s="27" t="inlineStr">
        <is>
          <t>固定資産除却損</t>
        </is>
      </c>
      <c r="D90" s="27" t="inlineStr">
        <is>
          <t>固定資産除却損</t>
        </is>
      </c>
      <c r="E90" s="28" t="n">
        <v>7707</v>
      </c>
      <c r="F90" s="28" t="n">
        <v>28865</v>
      </c>
      <c r="G90" s="27" t="inlineStr">
        <is>
          <t>対応</t>
        </is>
      </c>
      <c r="H90" s="23" t="inlineStr">
        <is>
          <t>p.93</t>
        </is>
      </c>
      <c r="I90" s="25" t="n"/>
    </row>
    <row r="91" ht="15" customHeight="1" s="21">
      <c r="A91" s="23" t="inlineStr">
        <is>
          <t>PL</t>
        </is>
      </c>
      <c r="B91" s="27" t="inlineStr">
        <is>
          <t>特別損失</t>
        </is>
      </c>
      <c r="C91" s="27" t="inlineStr">
        <is>
          <t>固定資産売却損</t>
        </is>
      </c>
      <c r="D91" s="27" t="inlineStr">
        <is>
          <t>固定資産売却損</t>
        </is>
      </c>
      <c r="E91" s="28" t="n">
        <v>0</v>
      </c>
      <c r="F91" s="28" t="n">
        <v>5886</v>
      </c>
      <c r="G91" s="27" t="inlineStr">
        <is>
          <t>対応</t>
        </is>
      </c>
      <c r="H91" s="23" t="inlineStr">
        <is>
          <t>p.93</t>
        </is>
      </c>
      <c r="I91" s="25" t="n"/>
    </row>
    <row r="92" ht="15" customHeight="1" s="21">
      <c r="A92" s="23" t="inlineStr">
        <is>
          <t>PL</t>
        </is>
      </c>
      <c r="B92" s="27" t="inlineStr">
        <is>
          <t>特別損失</t>
        </is>
      </c>
      <c r="C92" s="27" t="inlineStr">
        <is>
          <t>投資有価証券評価損</t>
        </is>
      </c>
      <c r="D92" s="27" t="inlineStr">
        <is>
          <t>投資有価証券評価損</t>
        </is>
      </c>
      <c r="E92" s="28" t="n">
        <v>9305</v>
      </c>
      <c r="F92" s="28" t="n">
        <v>1957</v>
      </c>
      <c r="G92" s="27" t="inlineStr">
        <is>
          <t>対応</t>
        </is>
      </c>
      <c r="H92" s="23" t="inlineStr">
        <is>
          <t>p.93</t>
        </is>
      </c>
      <c r="I92" s="25" t="n"/>
    </row>
    <row r="93" ht="15" customHeight="1" s="21">
      <c r="A93" s="23" t="inlineStr">
        <is>
          <t>PL</t>
        </is>
      </c>
      <c r="B93" s="27" t="inlineStr">
        <is>
          <t>特別損失</t>
        </is>
      </c>
      <c r="C93" s="27" t="inlineStr">
        <is>
          <t>リース解約損</t>
        </is>
      </c>
      <c r="D93" s="27" t="inlineStr">
        <is>
          <t>リース解約損</t>
        </is>
      </c>
      <c r="E93" s="28" t="n">
        <v>756</v>
      </c>
      <c r="F93" s="28" t="n">
        <v>1408</v>
      </c>
      <c r="G93" s="27" t="inlineStr">
        <is>
          <t>対応</t>
        </is>
      </c>
      <c r="H93" s="23" t="inlineStr">
        <is>
          <t>p.93</t>
        </is>
      </c>
      <c r="I93" s="25" t="n"/>
    </row>
    <row r="94" ht="15" customHeight="1" s="21">
      <c r="A94" s="23" t="inlineStr">
        <is>
          <t>PL</t>
        </is>
      </c>
      <c r="B94" s="27" t="inlineStr">
        <is>
          <t>特別損失</t>
        </is>
      </c>
      <c r="C94" s="27" t="inlineStr">
        <is>
          <t>解決金</t>
        </is>
      </c>
      <c r="D94" s="27" t="inlineStr">
        <is>
          <t>解決金</t>
        </is>
      </c>
      <c r="E94" s="28" t="n">
        <v>13870</v>
      </c>
      <c r="F94" s="28" t="n">
        <v>0</v>
      </c>
      <c r="G94" s="27" t="inlineStr">
        <is>
          <t>対応</t>
        </is>
      </c>
      <c r="H94" s="23" t="inlineStr">
        <is>
          <t>p.93</t>
        </is>
      </c>
      <c r="I94" s="25" t="n"/>
    </row>
    <row r="95" ht="15" customHeight="1" s="21">
      <c r="A95" s="29" t="inlineStr">
        <is>
          <t>PL</t>
        </is>
      </c>
      <c r="B95" s="30" t="inlineStr">
        <is>
          <t>特別損失</t>
        </is>
      </c>
      <c r="C95" s="31" t="inlineStr">
        <is>
          <t>特別損失合計</t>
        </is>
      </c>
      <c r="D95" s="31" t="inlineStr">
        <is>
          <t>特別損失合計</t>
        </is>
      </c>
      <c r="E95" s="32" t="n">
        <v>31641</v>
      </c>
      <c r="F95" s="32" t="n">
        <v>38118</v>
      </c>
      <c r="G95" s="30" t="inlineStr">
        <is>
          <t>合計（検算用）</t>
        </is>
      </c>
      <c r="H95" s="29" t="inlineStr">
        <is>
          <t>p.93</t>
        </is>
      </c>
      <c r="I95" s="33" t="n"/>
    </row>
    <row r="96" ht="15" customHeight="1" s="21">
      <c r="A96" s="29" t="inlineStr">
        <is>
          <t>PL</t>
        </is>
      </c>
      <c r="B96" s="30" t="inlineStr">
        <is>
          <t>利益</t>
        </is>
      </c>
      <c r="C96" s="31" t="inlineStr">
        <is>
          <t>税引前当期純利益</t>
        </is>
      </c>
      <c r="D96" s="31" t="inlineStr">
        <is>
          <t>税引前当期純利益</t>
        </is>
      </c>
      <c r="E96" s="32" t="n">
        <v>3870127</v>
      </c>
      <c r="F96" s="32" t="n">
        <v>2702134</v>
      </c>
      <c r="G96" s="30" t="inlineStr">
        <is>
          <t>合計（検算用）</t>
        </is>
      </c>
      <c r="H96" s="29" t="inlineStr">
        <is>
          <t>p.93</t>
        </is>
      </c>
      <c r="I96" s="33" t="n"/>
    </row>
    <row r="97" ht="15" customHeight="1" s="21">
      <c r="A97" s="23" t="inlineStr">
        <is>
          <t>PL</t>
        </is>
      </c>
      <c r="B97" s="27" t="inlineStr">
        <is>
          <t>税金</t>
        </is>
      </c>
      <c r="C97" s="27" t="inlineStr">
        <is>
          <t>法人税、住民税及び事業税</t>
        </is>
      </c>
      <c r="D97" s="27" t="inlineStr">
        <is>
          <t>法人税、住民税及び事業税</t>
        </is>
      </c>
      <c r="E97" s="28" t="n">
        <v>825556</v>
      </c>
      <c r="F97" s="28" t="n">
        <v>848674</v>
      </c>
      <c r="G97" s="27" t="inlineStr">
        <is>
          <t>対応</t>
        </is>
      </c>
      <c r="H97" s="23" t="inlineStr">
        <is>
          <t>p.93</t>
        </is>
      </c>
      <c r="I97" s="25" t="n"/>
    </row>
    <row r="98" ht="15" customHeight="1" s="21">
      <c r="A98" s="23" t="inlineStr">
        <is>
          <t>PL</t>
        </is>
      </c>
      <c r="B98" s="27" t="inlineStr">
        <is>
          <t>税金</t>
        </is>
      </c>
      <c r="C98" s="27" t="inlineStr">
        <is>
          <t>法人税等調整額</t>
        </is>
      </c>
      <c r="D98" s="27" t="inlineStr">
        <is>
          <t>法人税等調整額</t>
        </is>
      </c>
      <c r="E98" s="28" t="n">
        <v>194429</v>
      </c>
      <c r="F98" s="28" t="n">
        <v>-15783</v>
      </c>
      <c r="G98" s="27" t="inlineStr">
        <is>
          <t>上場企業特有</t>
        </is>
      </c>
      <c r="H98" s="23" t="inlineStr">
        <is>
          <t>p.93</t>
        </is>
      </c>
      <c r="I98" s="25" t="inlineStr">
        <is>
          <t>税効果会計</t>
        </is>
      </c>
    </row>
    <row r="99" ht="15" customHeight="1" s="21">
      <c r="A99" s="29" t="inlineStr">
        <is>
          <t>PL</t>
        </is>
      </c>
      <c r="B99" s="30" t="inlineStr">
        <is>
          <t>税金</t>
        </is>
      </c>
      <c r="C99" s="31" t="inlineStr">
        <is>
          <t>法人税等合計</t>
        </is>
      </c>
      <c r="D99" s="31" t="inlineStr">
        <is>
          <t>法人税等合計</t>
        </is>
      </c>
      <c r="E99" s="32" t="n">
        <v>1019985</v>
      </c>
      <c r="F99" s="32" t="n">
        <v>832890</v>
      </c>
      <c r="G99" s="30" t="inlineStr">
        <is>
          <t>合計（検算用）</t>
        </is>
      </c>
      <c r="H99" s="29" t="inlineStr">
        <is>
          <t>p.93</t>
        </is>
      </c>
      <c r="I99" s="33" t="n"/>
    </row>
    <row r="100" ht="15" customHeight="1" s="21">
      <c r="A100" s="29" t="inlineStr">
        <is>
          <t>PL</t>
        </is>
      </c>
      <c r="B100" s="30" t="inlineStr">
        <is>
          <t>利益</t>
        </is>
      </c>
      <c r="C100" s="31" t="inlineStr">
        <is>
          <t>当期純利益</t>
        </is>
      </c>
      <c r="D100" s="31" t="inlineStr">
        <is>
          <t>当期純利益</t>
        </is>
      </c>
      <c r="E100" s="32" t="n">
        <v>2850142</v>
      </c>
      <c r="F100" s="32" t="n">
        <v>1869244</v>
      </c>
      <c r="G100" s="30" t="inlineStr">
        <is>
          <t>合計（検算用）</t>
        </is>
      </c>
      <c r="H100" s="29" t="inlineStr">
        <is>
          <t>p.93</t>
        </is>
      </c>
      <c r="I100" s="33" t="n"/>
    </row>
    <row r="101" ht="15" customHeight="1" s="21">
      <c r="A101" s="27" t="inlineStr">
        <is>
          <t>製造原価</t>
        </is>
      </c>
      <c r="B101" s="27" t="inlineStr">
        <is>
          <t>製造費用</t>
        </is>
      </c>
      <c r="C101" s="27" t="inlineStr">
        <is>
          <t>材料費</t>
        </is>
      </c>
      <c r="D101" s="27" t="inlineStr">
        <is>
          <t>材料費</t>
        </is>
      </c>
      <c r="E101" s="28" t="n">
        <v>9855888</v>
      </c>
      <c r="F101" s="28" t="n">
        <v>10453980</v>
      </c>
      <c r="G101" s="27" t="inlineStr">
        <is>
          <t>対応</t>
        </is>
      </c>
      <c r="H101" s="23" t="inlineStr">
        <is>
          <t>p.94</t>
        </is>
      </c>
      <c r="I101" s="25" t="inlineStr">
        <is>
          <t>原料米・副材料・包装資材の内訳は不明</t>
        </is>
      </c>
    </row>
    <row r="102" ht="15" customHeight="1" s="21">
      <c r="A102" s="27" t="inlineStr">
        <is>
          <t>製造原価</t>
        </is>
      </c>
      <c r="B102" s="27" t="inlineStr">
        <is>
          <t>製造費用</t>
        </is>
      </c>
      <c r="C102" s="27" t="inlineStr">
        <is>
          <t>労務費</t>
        </is>
      </c>
      <c r="D102" s="27" t="inlineStr">
        <is>
          <t>労務費</t>
        </is>
      </c>
      <c r="E102" s="28" t="n">
        <v>4020297</v>
      </c>
      <c r="F102" s="28" t="n">
        <v>4156690</v>
      </c>
      <c r="G102" s="27" t="inlineStr">
        <is>
          <t>対応</t>
        </is>
      </c>
      <c r="H102" s="23" t="inlineStr">
        <is>
          <t>p.94</t>
        </is>
      </c>
      <c r="I102" s="25" t="n"/>
    </row>
    <row r="103" ht="15" customHeight="1" s="21">
      <c r="A103" s="27" t="inlineStr">
        <is>
          <t>製造原価</t>
        </is>
      </c>
      <c r="B103" s="27" t="inlineStr">
        <is>
          <t>製造費用</t>
        </is>
      </c>
      <c r="C103" s="27" t="inlineStr">
        <is>
          <t>経費</t>
        </is>
      </c>
      <c r="D103" s="27" t="inlineStr">
        <is>
          <t>経費</t>
        </is>
      </c>
      <c r="E103" s="28" t="n">
        <v>4612555</v>
      </c>
      <c r="F103" s="28" t="n">
        <v>4811477</v>
      </c>
      <c r="G103" s="27" t="inlineStr">
        <is>
          <t>対応</t>
        </is>
      </c>
      <c r="H103" s="23" t="inlineStr">
        <is>
          <t>p.94</t>
        </is>
      </c>
      <c r="I103" s="25" t="n"/>
    </row>
    <row r="104" ht="15" customHeight="1" s="21">
      <c r="A104" s="27" t="inlineStr">
        <is>
          <t>製造原価</t>
        </is>
      </c>
      <c r="B104" s="27" t="inlineStr">
        <is>
          <t>経費内訳</t>
        </is>
      </c>
      <c r="C104" s="27" t="inlineStr">
        <is>
          <t>減価償却費（製造）</t>
        </is>
      </c>
      <c r="D104" s="27" t="inlineStr">
        <is>
          <t>減価償却費</t>
        </is>
      </c>
      <c r="E104" s="28" t="n">
        <v>1514310</v>
      </c>
      <c r="F104" s="28" t="n">
        <v>1611392</v>
      </c>
      <c r="G104" s="27" t="inlineStr">
        <is>
          <t>対応</t>
        </is>
      </c>
      <c r="H104" s="23" t="inlineStr">
        <is>
          <t>p.94</t>
        </is>
      </c>
      <c r="I104" s="25" t="inlineStr">
        <is>
          <t>主な内訳のみ開示</t>
        </is>
      </c>
    </row>
    <row r="105" ht="15" customHeight="1" s="21">
      <c r="A105" s="27" t="inlineStr">
        <is>
          <t>製造原価</t>
        </is>
      </c>
      <c r="B105" s="27" t="inlineStr">
        <is>
          <t>経費内訳</t>
        </is>
      </c>
      <c r="C105" s="27" t="inlineStr">
        <is>
          <t>燃料費</t>
        </is>
      </c>
      <c r="D105" s="27" t="inlineStr">
        <is>
          <t>燃料費</t>
        </is>
      </c>
      <c r="E105" s="28" t="n">
        <v>833559</v>
      </c>
      <c r="F105" s="28" t="n">
        <v>815492</v>
      </c>
      <c r="G105" s="27" t="inlineStr">
        <is>
          <t>他表から分割可</t>
        </is>
      </c>
      <c r="H105" s="23" t="inlineStr">
        <is>
          <t>p.94</t>
        </is>
      </c>
      <c r="I105" s="25" t="inlineStr">
        <is>
          <t>標準科目『電力燃料費』を電力・燃料に分割</t>
        </is>
      </c>
    </row>
    <row r="106" ht="15" customHeight="1" s="21">
      <c r="A106" s="27" t="inlineStr">
        <is>
          <t>製造原価</t>
        </is>
      </c>
      <c r="B106" s="27" t="inlineStr">
        <is>
          <t>経費内訳</t>
        </is>
      </c>
      <c r="C106" s="27" t="inlineStr">
        <is>
          <t>電力費</t>
        </is>
      </c>
      <c r="D106" s="27" t="inlineStr">
        <is>
          <t>電力費</t>
        </is>
      </c>
      <c r="E106" s="28" t="n">
        <v>656372</v>
      </c>
      <c r="F106" s="28" t="n">
        <v>583899</v>
      </c>
      <c r="G106" s="27" t="inlineStr">
        <is>
          <t>他表から分割可</t>
        </is>
      </c>
      <c r="H106" s="23" t="inlineStr">
        <is>
          <t>p.94</t>
        </is>
      </c>
      <c r="I106" s="25" t="n"/>
    </row>
    <row r="107" ht="15" customHeight="1" s="21">
      <c r="A107" s="27" t="inlineStr">
        <is>
          <t>製造原価</t>
        </is>
      </c>
      <c r="B107" s="27" t="inlineStr">
        <is>
          <t>経費内訳</t>
        </is>
      </c>
      <c r="C107" s="27" t="inlineStr">
        <is>
          <t>消耗器具備品費</t>
        </is>
      </c>
      <c r="D107" s="27" t="inlineStr">
        <is>
          <t>消耗器具備品費</t>
        </is>
      </c>
      <c r="E107" s="28" t="n">
        <v>497434</v>
      </c>
      <c r="F107" s="28" t="n">
        <v>532217</v>
      </c>
      <c r="G107" s="27" t="inlineStr">
        <is>
          <t>対応</t>
        </is>
      </c>
      <c r="H107" s="23" t="inlineStr">
        <is>
          <t>p.94</t>
        </is>
      </c>
      <c r="I107" s="25" t="n"/>
    </row>
    <row r="108" ht="15" customHeight="1" s="21">
      <c r="A108" s="27" t="inlineStr">
        <is>
          <t>製造原価</t>
        </is>
      </c>
      <c r="B108" s="27" t="inlineStr">
        <is>
          <t>経費内訳</t>
        </is>
      </c>
      <c r="C108" s="27" t="inlineStr">
        <is>
          <t>修繕費（製造）</t>
        </is>
      </c>
      <c r="D108" s="27" t="inlineStr">
        <is>
          <t>修繕費</t>
        </is>
      </c>
      <c r="E108" s="28" t="n">
        <v>270580</v>
      </c>
      <c r="F108" s="28" t="n">
        <v>331187</v>
      </c>
      <c r="G108" s="27" t="inlineStr">
        <is>
          <t>対応</t>
        </is>
      </c>
      <c r="H108" s="23" t="inlineStr">
        <is>
          <t>p.94</t>
        </is>
      </c>
      <c r="I108" s="25" t="n"/>
    </row>
    <row r="109" ht="15" customHeight="1" s="21">
      <c r="A109" s="30" t="inlineStr">
        <is>
          <t>製造原価</t>
        </is>
      </c>
      <c r="B109" s="30" t="inlineStr">
        <is>
          <t>製造費用</t>
        </is>
      </c>
      <c r="C109" s="31" t="inlineStr">
        <is>
          <t>当期総製造費用</t>
        </is>
      </c>
      <c r="D109" s="31" t="inlineStr">
        <is>
          <t>当期総製造費用</t>
        </is>
      </c>
      <c r="E109" s="32" t="n">
        <v>18488742</v>
      </c>
      <c r="F109" s="32" t="n">
        <v>19422149</v>
      </c>
      <c r="G109" s="30" t="inlineStr">
        <is>
          <t>合計（検算用）</t>
        </is>
      </c>
      <c r="H109" s="29" t="inlineStr">
        <is>
          <t>p.94</t>
        </is>
      </c>
      <c r="I109" s="33" t="n"/>
    </row>
    <row r="110" ht="15" customHeight="1" s="21">
      <c r="A110" s="27" t="inlineStr">
        <is>
          <t>製造原価</t>
        </is>
      </c>
      <c r="B110" s="27" t="inlineStr">
        <is>
          <t>仕掛品</t>
        </is>
      </c>
      <c r="C110" s="27" t="inlineStr">
        <is>
          <t>期首仕掛品</t>
        </is>
      </c>
      <c r="D110" s="27" t="inlineStr">
        <is>
          <t>期首仕掛品棚卸高</t>
        </is>
      </c>
      <c r="E110" s="28" t="n">
        <v>135475</v>
      </c>
      <c r="F110" s="28" t="n">
        <v>159540</v>
      </c>
      <c r="G110" s="27" t="inlineStr">
        <is>
          <t>対応</t>
        </is>
      </c>
      <c r="H110" s="23" t="inlineStr">
        <is>
          <t>p.94</t>
        </is>
      </c>
      <c r="I110" s="25" t="n"/>
    </row>
    <row r="111" ht="15" customHeight="1" s="21">
      <c r="A111" s="27" t="inlineStr">
        <is>
          <t>製造原価</t>
        </is>
      </c>
      <c r="B111" s="27" t="inlineStr">
        <is>
          <t>仕掛品</t>
        </is>
      </c>
      <c r="C111" s="27" t="inlineStr">
        <is>
          <t>期末仕掛品</t>
        </is>
      </c>
      <c r="D111" s="27" t="inlineStr">
        <is>
          <t>期末仕掛品棚卸高</t>
        </is>
      </c>
      <c r="E111" s="28" t="n">
        <v>159540</v>
      </c>
      <c r="F111" s="28" t="n">
        <v>182953</v>
      </c>
      <c r="G111" s="27" t="inlineStr">
        <is>
          <t>対応</t>
        </is>
      </c>
      <c r="H111" s="23" t="inlineStr">
        <is>
          <t>p.94</t>
        </is>
      </c>
      <c r="I111" s="25" t="n"/>
    </row>
    <row r="112" ht="15" customHeight="1" s="21">
      <c r="A112" s="30" t="inlineStr">
        <is>
          <t>製造原価</t>
        </is>
      </c>
      <c r="B112" s="30" t="inlineStr">
        <is>
          <t>製品</t>
        </is>
      </c>
      <c r="C112" s="31" t="inlineStr">
        <is>
          <t>当期製品製造原価</t>
        </is>
      </c>
      <c r="D112" s="31" t="inlineStr">
        <is>
          <t>当期製品製造原価</t>
        </is>
      </c>
      <c r="E112" s="32" t="n">
        <v>18464677</v>
      </c>
      <c r="F112" s="32" t="n">
        <v>19398736</v>
      </c>
      <c r="G112" s="30" t="inlineStr">
        <is>
          <t>合計（検算用）</t>
        </is>
      </c>
      <c r="H112" s="29" t="inlineStr">
        <is>
          <t>p.94</t>
        </is>
      </c>
      <c r="I112" s="33" t="n"/>
    </row>
    <row r="113" ht="15" customHeight="1" s="21">
      <c r="A113" s="27" t="inlineStr">
        <is>
          <t>売上原価調整</t>
        </is>
      </c>
      <c r="B113" s="27" t="inlineStr">
        <is>
          <t>製品</t>
        </is>
      </c>
      <c r="C113" s="27" t="inlineStr">
        <is>
          <t>期首製品</t>
        </is>
      </c>
      <c r="D113" s="27" t="inlineStr">
        <is>
          <t>期首製品棚卸高</t>
        </is>
      </c>
      <c r="E113" s="28" t="n">
        <v>588021</v>
      </c>
      <c r="F113" s="28" t="n">
        <v>544561</v>
      </c>
      <c r="G113" s="27" t="inlineStr">
        <is>
          <t>対応</t>
        </is>
      </c>
      <c r="H113" s="23" t="inlineStr">
        <is>
          <t>p.94</t>
        </is>
      </c>
      <c r="I113" s="25" t="n"/>
    </row>
    <row r="114" ht="15" customHeight="1" s="21">
      <c r="A114" s="27" t="inlineStr">
        <is>
          <t>売上原価調整</t>
        </is>
      </c>
      <c r="B114" s="27" t="inlineStr">
        <is>
          <t>商品</t>
        </is>
      </c>
      <c r="C114" s="27" t="inlineStr">
        <is>
          <t>当期商品仕入高</t>
        </is>
      </c>
      <c r="D114" s="27" t="inlineStr">
        <is>
          <t>当期商品仕入高</t>
        </is>
      </c>
      <c r="E114" s="28" t="n">
        <v>27233</v>
      </c>
      <c r="F114" s="28" t="n">
        <v>3244748</v>
      </c>
      <c r="G114" s="27" t="inlineStr">
        <is>
          <t>対応</t>
        </is>
      </c>
      <c r="H114" s="23" t="inlineStr">
        <is>
          <t>p.94</t>
        </is>
      </c>
      <c r="I114" s="25" t="inlineStr">
        <is>
          <t>標準科目に追加。前期比で急増（関連会社経由の輸入商品）</t>
        </is>
      </c>
    </row>
    <row r="115" ht="15" customHeight="1" s="21">
      <c r="A115" s="27" t="inlineStr">
        <is>
          <t>売上原価調整</t>
        </is>
      </c>
      <c r="B115" s="27" t="inlineStr">
        <is>
          <t>振替</t>
        </is>
      </c>
      <c r="C115" s="27" t="inlineStr">
        <is>
          <t>他勘定振替高</t>
        </is>
      </c>
      <c r="D115" s="27" t="inlineStr">
        <is>
          <t>他勘定振替高</t>
        </is>
      </c>
      <c r="E115" s="28" t="n">
        <v>86128</v>
      </c>
      <c r="F115" s="28" t="n">
        <v>61389</v>
      </c>
      <c r="G115" s="27" t="inlineStr">
        <is>
          <t>対応</t>
        </is>
      </c>
      <c r="H115" s="23" t="inlineStr">
        <is>
          <t>p.94</t>
        </is>
      </c>
      <c r="I115" s="25" t="inlineStr">
        <is>
          <t>見本品費等を販管費へ振替</t>
        </is>
      </c>
    </row>
    <row r="116" ht="15" customHeight="1" s="21">
      <c r="A116" s="27" t="inlineStr">
        <is>
          <t>売上原価調整</t>
        </is>
      </c>
      <c r="B116" s="27" t="inlineStr">
        <is>
          <t>製品</t>
        </is>
      </c>
      <c r="C116" s="27" t="inlineStr">
        <is>
          <t>期末製品</t>
        </is>
      </c>
      <c r="D116" s="27" t="inlineStr">
        <is>
          <t>期末製品棚卸高</t>
        </is>
      </c>
      <c r="E116" s="28" t="n">
        <v>544561</v>
      </c>
      <c r="F116" s="28" t="n">
        <v>725962</v>
      </c>
      <c r="G116" s="27" t="inlineStr">
        <is>
          <t>対応</t>
        </is>
      </c>
      <c r="H116" s="23" t="inlineStr">
        <is>
          <t>p.94</t>
        </is>
      </c>
      <c r="I116" s="25" t="n"/>
    </row>
    <row r="117" ht="15" customHeight="1" s="21">
      <c r="A117" s="27" t="inlineStr">
        <is>
          <t>売上原価調整</t>
        </is>
      </c>
      <c r="B117" s="27" t="inlineStr">
        <is>
          <t>商品</t>
        </is>
      </c>
      <c r="C117" s="27" t="inlineStr">
        <is>
          <t>期末商品</t>
        </is>
      </c>
      <c r="D117" s="27" t="inlineStr">
        <is>
          <t>期末商品棚卸高</t>
        </is>
      </c>
      <c r="E117" s="28" t="n">
        <v>0</v>
      </c>
      <c r="F117" s="28" t="n">
        <v>355025</v>
      </c>
      <c r="G117" s="27" t="inlineStr">
        <is>
          <t>対応</t>
        </is>
      </c>
      <c r="H117" s="23" t="inlineStr">
        <is>
          <t>p.94</t>
        </is>
      </c>
      <c r="I117" s="25" t="n"/>
    </row>
    <row r="118" ht="15" customHeight="1" s="21">
      <c r="A118" s="27" t="inlineStr">
        <is>
          <t>株主資本等変動</t>
        </is>
      </c>
      <c r="B118" s="27" t="inlineStr">
        <is>
          <t>繰越利益剰余金</t>
        </is>
      </c>
      <c r="C118" s="27" t="inlineStr">
        <is>
          <t>剰余金の配当</t>
        </is>
      </c>
      <c r="D118" s="27" t="inlineStr">
        <is>
          <t>剰余金の配当</t>
        </is>
      </c>
      <c r="E118" s="28" t="n">
        <v>247447</v>
      </c>
      <c r="F118" s="28" t="n">
        <v>322755</v>
      </c>
      <c r="G118" s="27" t="inlineStr">
        <is>
          <t>対応</t>
        </is>
      </c>
      <c r="H118" s="23" t="inlineStr">
        <is>
          <t>p.96</t>
        </is>
      </c>
      <c r="I118" s="25" t="n"/>
    </row>
    <row r="119" ht="15" customHeight="1" s="21">
      <c r="A119" s="27" t="inlineStr">
        <is>
          <t>株主資本等変動</t>
        </is>
      </c>
      <c r="B119" s="27" t="inlineStr">
        <is>
          <t>繰越利益剰余金</t>
        </is>
      </c>
      <c r="C119" s="27" t="inlineStr">
        <is>
          <t>別途積立金の積立</t>
        </is>
      </c>
      <c r="D119" s="27" t="inlineStr">
        <is>
          <t>別途積立金の積立</t>
        </is>
      </c>
      <c r="E119" s="28" t="n">
        <v>1689200</v>
      </c>
      <c r="F119" s="28" t="n">
        <v>2523500</v>
      </c>
      <c r="G119" s="27" t="inlineStr">
        <is>
          <t>対応</t>
        </is>
      </c>
      <c r="H119" s="23" t="inlineStr">
        <is>
          <t>p.96</t>
        </is>
      </c>
      <c r="I119" s="25" t="n"/>
    </row>
    <row r="120" ht="15" customHeight="1" s="21">
      <c r="A120" s="30" t="inlineStr">
        <is>
          <t>主要経営指標</t>
        </is>
      </c>
      <c r="B120" s="30" t="inlineStr">
        <is>
          <t>照合</t>
        </is>
      </c>
      <c r="C120" s="31" t="inlineStr">
        <is>
          <t>売上高（指標欄）</t>
        </is>
      </c>
      <c r="D120" s="31" t="inlineStr">
        <is>
          <t>提出会社の経営指標等 売上高</t>
        </is>
      </c>
      <c r="E120" s="32" t="n">
        <v>24298452</v>
      </c>
      <c r="F120" s="32" t="n">
        <v>28148648</v>
      </c>
      <c r="G120" s="30" t="inlineStr">
        <is>
          <t>合計（検算用）</t>
        </is>
      </c>
      <c r="H120" s="29" t="inlineStr">
        <is>
          <t>p.2</t>
        </is>
      </c>
      <c r="I120" s="33" t="n"/>
    </row>
    <row r="121" ht="15" customHeight="1" s="21">
      <c r="A121" s="30" t="inlineStr">
        <is>
          <t>主要経営指標</t>
        </is>
      </c>
      <c r="B121" s="30" t="inlineStr">
        <is>
          <t>照合</t>
        </is>
      </c>
      <c r="C121" s="31" t="inlineStr">
        <is>
          <t>当期純利益（指標欄）</t>
        </is>
      </c>
      <c r="D121" s="31" t="inlineStr">
        <is>
          <t>提出会社の経営指標等 当期純利益</t>
        </is>
      </c>
      <c r="E121" s="32" t="n">
        <v>2850142</v>
      </c>
      <c r="F121" s="32" t="n">
        <v>1869244</v>
      </c>
      <c r="G121" s="30" t="inlineStr">
        <is>
          <t>合計（検算用）</t>
        </is>
      </c>
      <c r="H121" s="29" t="inlineStr">
        <is>
          <t>p.2</t>
        </is>
      </c>
      <c r="I121" s="33" t="n"/>
    </row>
    <row r="122" ht="15" customHeight="1" s="21">
      <c r="A122" s="30" t="inlineStr">
        <is>
          <t>主要経営指標</t>
        </is>
      </c>
      <c r="B122" s="30" t="inlineStr">
        <is>
          <t>照合</t>
        </is>
      </c>
      <c r="C122" s="31" t="inlineStr">
        <is>
          <t>純資産（指標欄）</t>
        </is>
      </c>
      <c r="D122" s="31" t="inlineStr">
        <is>
          <t>提出会社の経営指標等 純資産額</t>
        </is>
      </c>
      <c r="E122" s="32" t="n">
        <v>68870241</v>
      </c>
      <c r="F122" s="32" t="n">
        <v>70553858</v>
      </c>
      <c r="G122" s="30" t="inlineStr">
        <is>
          <t>合計（検算用）</t>
        </is>
      </c>
      <c r="H122" s="29" t="inlineStr">
        <is>
          <t>p.2</t>
        </is>
      </c>
      <c r="I122" s="33" t="n"/>
    </row>
    <row r="123" ht="15" customHeight="1" s="21">
      <c r="A123" s="30" t="inlineStr">
        <is>
          <t>主要経営指標</t>
        </is>
      </c>
      <c r="B123" s="30" t="inlineStr">
        <is>
          <t>照合</t>
        </is>
      </c>
      <c r="C123" s="31" t="inlineStr">
        <is>
          <t>総資産（指標欄）</t>
        </is>
      </c>
      <c r="D123" s="31" t="inlineStr">
        <is>
          <t>提出会社の経営指標等 総資産額</t>
        </is>
      </c>
      <c r="E123" s="32" t="n">
        <v>92519592</v>
      </c>
      <c r="F123" s="32" t="n">
        <v>94290472</v>
      </c>
      <c r="G123" s="30" t="inlineStr">
        <is>
          <t>合計（検算用）</t>
        </is>
      </c>
      <c r="H123" s="29" t="inlineStr">
        <is>
          <t>p.2</t>
        </is>
      </c>
      <c r="I123" s="33" t="n"/>
    </row>
  </sheetData>
  <autoFilter ref="A1:I1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20" min="1" max="1"/>
    <col width="44" customWidth="1" style="20" min="2" max="2"/>
    <col width="14" customWidth="1" style="20" min="3" max="4"/>
    <col width="9" customWidth="1" style="20" min="5" max="6"/>
    <col width="14" customWidth="1" style="20" min="7" max="8"/>
    <col width="9" customWidth="1" style="20" min="9" max="10"/>
    <col width="8" customWidth="1" style="20" min="11" max="11"/>
  </cols>
  <sheetData>
    <row r="1" ht="15" customHeight="1" s="21">
      <c r="A1" s="24" t="inlineStr">
        <is>
          <t>許容差の考え方</t>
        </is>
      </c>
      <c r="B1" s="34" t="inlineStr">
        <is>
          <t>原資料は各科目・各合計を千円未満切捨てで表示するため、内訳n件の合計と報告合計は最大でn千円程度ずれうる。許容差＝内訳件数（最低2）とする</t>
        </is>
      </c>
    </row>
    <row r="2"/>
    <row r="3" ht="26.85" customHeight="1" s="21">
      <c r="A3" s="35" t="inlineStr">
        <is>
          <t>区分</t>
        </is>
      </c>
      <c r="B3" s="35" t="inlineStr">
        <is>
          <t>検算項目</t>
        </is>
      </c>
      <c r="C3" s="35" t="inlineStr">
        <is>
          <t>計算値（前期）</t>
        </is>
      </c>
      <c r="D3" s="35" t="inlineStr">
        <is>
          <t>報告値（前期）</t>
        </is>
      </c>
      <c r="E3" s="35" t="inlineStr">
        <is>
          <t>差（前期）</t>
        </is>
      </c>
      <c r="F3" s="35" t="inlineStr">
        <is>
          <t>判定（前期）</t>
        </is>
      </c>
      <c r="G3" s="35" t="inlineStr">
        <is>
          <t>計算値（当期）</t>
        </is>
      </c>
      <c r="H3" s="35" t="inlineStr">
        <is>
          <t>報告値（当期）</t>
        </is>
      </c>
      <c r="I3" s="35" t="inlineStr">
        <is>
          <t>差（当期）</t>
        </is>
      </c>
      <c r="J3" s="35" t="inlineStr">
        <is>
          <t>判定（当期）</t>
        </is>
      </c>
      <c r="K3" s="35" t="inlineStr">
        <is>
          <t>許容差</t>
        </is>
      </c>
    </row>
    <row r="4" ht="15" customHeight="1" s="21">
      <c r="A4" s="23" t="inlineStr">
        <is>
          <t>BS内訳</t>
        </is>
      </c>
      <c r="B4" s="27" t="inlineStr">
        <is>
          <t>流動資産合計</t>
        </is>
      </c>
      <c r="C4" s="36">
        <f>標準科目対応!E2+標準科目対応!E3+標準科目対応!E4+標準科目対応!E5+標準科目対応!E6+標準科目対応!E7+標準科目対応!E8+標準科目対応!E9+標準科目対応!E10</f>
        <v/>
      </c>
      <c r="D4" s="36">
        <f>標準科目対応!E11</f>
        <v/>
      </c>
      <c r="E4" s="37">
        <f>C4-D4</f>
        <v/>
      </c>
      <c r="F4" s="24">
        <f>IF(ABS(E4)&lt;=$K$4,"一致","不一致")</f>
        <v/>
      </c>
      <c r="G4" s="36">
        <f>標準科目対応!F2+標準科目対応!F3+標準科目対応!F4+標準科目対応!F5+標準科目対応!F6+標準科目対応!F7+標準科目対応!F8+標準科目対応!F9+標準科目対応!F10</f>
        <v/>
      </c>
      <c r="H4" s="36">
        <f>標準科目対応!F11</f>
        <v/>
      </c>
      <c r="I4" s="37">
        <f>G4-H4</f>
        <v/>
      </c>
      <c r="J4" s="24">
        <f>IF(ABS(I4)&lt;=$K$4,"一致","不一致")</f>
        <v/>
      </c>
      <c r="K4" s="38" t="n">
        <v>9</v>
      </c>
    </row>
    <row r="5" ht="15" customHeight="1" s="21">
      <c r="A5" s="23" t="inlineStr">
        <is>
          <t>BS内訳</t>
        </is>
      </c>
      <c r="B5" s="27" t="inlineStr">
        <is>
          <t>有形固定資産合計</t>
        </is>
      </c>
      <c r="C5" s="36">
        <f>標準科目対応!E12+標準科目対応!E13+標準科目対応!E14+標準科目対応!E15+標準科目対応!E16+標準科目対応!E17+標準科目対応!E18+標準科目対応!E19</f>
        <v/>
      </c>
      <c r="D5" s="36">
        <f>標準科目対応!E20</f>
        <v/>
      </c>
      <c r="E5" s="37">
        <f>C5-D5</f>
        <v/>
      </c>
      <c r="F5" s="24">
        <f>IF(ABS(E5)&lt;=$K$5,"一致","不一致")</f>
        <v/>
      </c>
      <c r="G5" s="36">
        <f>標準科目対応!F12+標準科目対応!F13+標準科目対応!F14+標準科目対応!F15+標準科目対応!F16+標準科目対応!F17+標準科目対応!F18+標準科目対応!F19</f>
        <v/>
      </c>
      <c r="H5" s="36">
        <f>標準科目対応!F20</f>
        <v/>
      </c>
      <c r="I5" s="37">
        <f>G5-H5</f>
        <v/>
      </c>
      <c r="J5" s="24">
        <f>IF(ABS(I5)&lt;=$K$5,"一致","不一致")</f>
        <v/>
      </c>
      <c r="K5" s="38" t="n">
        <v>8</v>
      </c>
    </row>
    <row r="6" ht="15" customHeight="1" s="21">
      <c r="A6" s="23" t="inlineStr">
        <is>
          <t>BS内訳</t>
        </is>
      </c>
      <c r="B6" s="27" t="inlineStr">
        <is>
          <t>無形固定資産合計</t>
        </is>
      </c>
      <c r="C6" s="36">
        <f>標準科目対応!E21+標準科目対応!E22</f>
        <v/>
      </c>
      <c r="D6" s="36">
        <f>標準科目対応!E23</f>
        <v/>
      </c>
      <c r="E6" s="37">
        <f>C6-D6</f>
        <v/>
      </c>
      <c r="F6" s="24">
        <f>IF(ABS(E6)&lt;=$K$6,"一致","不一致")</f>
        <v/>
      </c>
      <c r="G6" s="36">
        <f>標準科目対応!F21+標準科目対応!F22</f>
        <v/>
      </c>
      <c r="H6" s="36">
        <f>標準科目対応!F23</f>
        <v/>
      </c>
      <c r="I6" s="37">
        <f>G6-H6</f>
        <v/>
      </c>
      <c r="J6" s="24">
        <f>IF(ABS(I6)&lt;=$K$6,"一致","不一致")</f>
        <v/>
      </c>
      <c r="K6" s="38" t="n">
        <v>2</v>
      </c>
    </row>
    <row r="7" ht="15" customHeight="1" s="21">
      <c r="A7" s="23" t="inlineStr">
        <is>
          <t>BS内訳</t>
        </is>
      </c>
      <c r="B7" s="27" t="inlineStr">
        <is>
          <t>投資その他の資産合計</t>
        </is>
      </c>
      <c r="C7" s="36">
        <f>標準科目対応!E24+標準科目対応!E25+標準科目対応!E26+標準科目対応!E27+標準科目対応!E28+標準科目対応!E29+標準科目対応!E30+標準科目対応!E31</f>
        <v/>
      </c>
      <c r="D7" s="36">
        <f>標準科目対応!E32</f>
        <v/>
      </c>
      <c r="E7" s="37">
        <f>C7-D7</f>
        <v/>
      </c>
      <c r="F7" s="24">
        <f>IF(ABS(E7)&lt;=$K$7,"一致","不一致")</f>
        <v/>
      </c>
      <c r="G7" s="36">
        <f>標準科目対応!F24+標準科目対応!F25+標準科目対応!F26+標準科目対応!F27+標準科目対応!F28+標準科目対応!F29+標準科目対応!F30+標準科目対応!F31</f>
        <v/>
      </c>
      <c r="H7" s="36">
        <f>標準科目対応!F32</f>
        <v/>
      </c>
      <c r="I7" s="37">
        <f>G7-H7</f>
        <v/>
      </c>
      <c r="J7" s="24">
        <f>IF(ABS(I7)&lt;=$K$7,"一致","不一致")</f>
        <v/>
      </c>
      <c r="K7" s="38" t="n">
        <v>8</v>
      </c>
    </row>
    <row r="8" ht="15" customHeight="1" s="21">
      <c r="A8" s="23" t="inlineStr">
        <is>
          <t>BS内訳</t>
        </is>
      </c>
      <c r="B8" s="27" t="inlineStr">
        <is>
          <t>固定資産合計</t>
        </is>
      </c>
      <c r="C8" s="36">
        <f>標準科目対応!E20+標準科目対応!E23+標準科目対応!E32</f>
        <v/>
      </c>
      <c r="D8" s="36">
        <f>標準科目対応!E33</f>
        <v/>
      </c>
      <c r="E8" s="37">
        <f>C8-D8</f>
        <v/>
      </c>
      <c r="F8" s="24">
        <f>IF(ABS(E8)&lt;=$K$8,"一致","不一致")</f>
        <v/>
      </c>
      <c r="G8" s="36">
        <f>標準科目対応!F20+標準科目対応!F23+標準科目対応!F32</f>
        <v/>
      </c>
      <c r="H8" s="36">
        <f>標準科目対応!F33</f>
        <v/>
      </c>
      <c r="I8" s="37">
        <f>G8-H8</f>
        <v/>
      </c>
      <c r="J8" s="24">
        <f>IF(ABS(I8)&lt;=$K$8,"一致","不一致")</f>
        <v/>
      </c>
      <c r="K8" s="38" t="n">
        <v>3</v>
      </c>
    </row>
    <row r="9" ht="15" customHeight="1" s="21">
      <c r="A9" s="23" t="inlineStr">
        <is>
          <t>BS内訳</t>
        </is>
      </c>
      <c r="B9" s="27" t="inlineStr">
        <is>
          <t>資産合計</t>
        </is>
      </c>
      <c r="C9" s="36">
        <f>標準科目対応!E11+標準科目対応!E33</f>
        <v/>
      </c>
      <c r="D9" s="36">
        <f>標準科目対応!E34</f>
        <v/>
      </c>
      <c r="E9" s="37">
        <f>C9-D9</f>
        <v/>
      </c>
      <c r="F9" s="24">
        <f>IF(ABS(E9)&lt;=$K$9,"一致","不一致")</f>
        <v/>
      </c>
      <c r="G9" s="36">
        <f>標準科目対応!F11+標準科目対応!F33</f>
        <v/>
      </c>
      <c r="H9" s="36">
        <f>標準科目対応!F34</f>
        <v/>
      </c>
      <c r="I9" s="37">
        <f>G9-H9</f>
        <v/>
      </c>
      <c r="J9" s="24">
        <f>IF(ABS(I9)&lt;=$K$9,"一致","不一致")</f>
        <v/>
      </c>
      <c r="K9" s="38" t="n">
        <v>2</v>
      </c>
    </row>
    <row r="10" ht="15" customHeight="1" s="21">
      <c r="A10" s="23" t="inlineStr">
        <is>
          <t>BS内訳</t>
        </is>
      </c>
      <c r="B10" s="27" t="inlineStr">
        <is>
          <t>流動負債合計</t>
        </is>
      </c>
      <c r="C10" s="36">
        <f>標準科目対応!E35+標準科目対応!E36+標準科目対応!E37+標準科目対応!E38+標準科目対応!E39+標準科目対応!E40+標準科目対応!E41+標準科目対応!E42+標準科目対応!E43+標準科目対応!E44+標準科目対応!E45+標準科目対応!E46+標準科目対応!E47</f>
        <v/>
      </c>
      <c r="D10" s="36">
        <f>標準科目対応!E48</f>
        <v/>
      </c>
      <c r="E10" s="37">
        <f>C10-D10</f>
        <v/>
      </c>
      <c r="F10" s="24">
        <f>IF(ABS(E10)&lt;=$K$10,"一致","不一致")</f>
        <v/>
      </c>
      <c r="G10" s="36">
        <f>標準科目対応!F35+標準科目対応!F36+標準科目対応!F37+標準科目対応!F38+標準科目対応!F39+標準科目対応!F40+標準科目対応!F41+標準科目対応!F42+標準科目対応!F43+標準科目対応!F44+標準科目対応!F45+標準科目対応!F46+標準科目対応!F47</f>
        <v/>
      </c>
      <c r="H10" s="36">
        <f>標準科目対応!F48</f>
        <v/>
      </c>
      <c r="I10" s="37">
        <f>G10-H10</f>
        <v/>
      </c>
      <c r="J10" s="24">
        <f>IF(ABS(I10)&lt;=$K$10,"一致","不一致")</f>
        <v/>
      </c>
      <c r="K10" s="38" t="n">
        <v>13</v>
      </c>
    </row>
    <row r="11" ht="15" customHeight="1" s="21">
      <c r="A11" s="23" t="inlineStr">
        <is>
          <t>BS内訳</t>
        </is>
      </c>
      <c r="B11" s="27" t="inlineStr">
        <is>
          <t>固定負債合計</t>
        </is>
      </c>
      <c r="C11" s="36">
        <f>標準科目対応!E49+標準科目対応!E50+標準科目対応!E51+標準科目対応!E52+標準科目対応!E53+標準科目対応!E54+標準科目対応!E55+標準科目対応!E56</f>
        <v/>
      </c>
      <c r="D11" s="36">
        <f>標準科目対応!E57</f>
        <v/>
      </c>
      <c r="E11" s="37">
        <f>C11-D11</f>
        <v/>
      </c>
      <c r="F11" s="24">
        <f>IF(ABS(E11)&lt;=$K$11,"一致","不一致")</f>
        <v/>
      </c>
      <c r="G11" s="36">
        <f>標準科目対応!F49+標準科目対応!F50+標準科目対応!F51+標準科目対応!F52+標準科目対応!F53+標準科目対応!F54+標準科目対応!F55+標準科目対応!F56</f>
        <v/>
      </c>
      <c r="H11" s="36">
        <f>標準科目対応!F57</f>
        <v/>
      </c>
      <c r="I11" s="37">
        <f>G11-H11</f>
        <v/>
      </c>
      <c r="J11" s="24">
        <f>IF(ABS(I11)&lt;=$K$11,"一致","不一致")</f>
        <v/>
      </c>
      <c r="K11" s="38" t="n">
        <v>8</v>
      </c>
    </row>
    <row r="12" ht="15" customHeight="1" s="21">
      <c r="A12" s="23" t="inlineStr">
        <is>
          <t>BS内訳</t>
        </is>
      </c>
      <c r="B12" s="27" t="inlineStr">
        <is>
          <t>負債合計</t>
        </is>
      </c>
      <c r="C12" s="36">
        <f>標準科目対応!E48+標準科目対応!E57</f>
        <v/>
      </c>
      <c r="D12" s="36">
        <f>標準科目対応!E58</f>
        <v/>
      </c>
      <c r="E12" s="37">
        <f>C12-D12</f>
        <v/>
      </c>
      <c r="F12" s="24">
        <f>IF(ABS(E12)&lt;=$K$12,"一致","不一致")</f>
        <v/>
      </c>
      <c r="G12" s="36">
        <f>標準科目対応!F48+標準科目対応!F57</f>
        <v/>
      </c>
      <c r="H12" s="36">
        <f>標準科目対応!F58</f>
        <v/>
      </c>
      <c r="I12" s="37">
        <f>G12-H12</f>
        <v/>
      </c>
      <c r="J12" s="24">
        <f>IF(ABS(I12)&lt;=$K$12,"一致","不一致")</f>
        <v/>
      </c>
      <c r="K12" s="38" t="n">
        <v>2</v>
      </c>
    </row>
    <row r="13" ht="15" customHeight="1" s="21">
      <c r="A13" s="23" t="inlineStr">
        <is>
          <t>BS内訳</t>
        </is>
      </c>
      <c r="B13" s="27" t="inlineStr">
        <is>
          <t>利益剰余金合計</t>
        </is>
      </c>
      <c r="C13" s="36">
        <f>標準科目対応!E61+標準科目対応!E62+標準科目対応!E63</f>
        <v/>
      </c>
      <c r="D13" s="36">
        <f>標準科目対応!E64</f>
        <v/>
      </c>
      <c r="E13" s="37">
        <f>C13-D13</f>
        <v/>
      </c>
      <c r="F13" s="24">
        <f>IF(ABS(E13)&lt;=$K$13,"一致","不一致")</f>
        <v/>
      </c>
      <c r="G13" s="36">
        <f>標準科目対応!F61+標準科目対応!F62+標準科目対応!F63</f>
        <v/>
      </c>
      <c r="H13" s="36">
        <f>標準科目対応!F64</f>
        <v/>
      </c>
      <c r="I13" s="37">
        <f>G13-H13</f>
        <v/>
      </c>
      <c r="J13" s="24">
        <f>IF(ABS(I13)&lt;=$K$13,"一致","不一致")</f>
        <v/>
      </c>
      <c r="K13" s="38" t="n">
        <v>3</v>
      </c>
    </row>
    <row r="14" ht="15" customHeight="1" s="21">
      <c r="A14" s="23" t="inlineStr">
        <is>
          <t>BS内訳</t>
        </is>
      </c>
      <c r="B14" s="27" t="inlineStr">
        <is>
          <t>株主資本合計</t>
        </is>
      </c>
      <c r="C14" s="36">
        <f>標準科目対応!E59+標準科目対応!E60+標準科目対応!E64+標準科目対応!E65</f>
        <v/>
      </c>
      <c r="D14" s="36">
        <f>標準科目対応!E66</f>
        <v/>
      </c>
      <c r="E14" s="37">
        <f>C14-D14</f>
        <v/>
      </c>
      <c r="F14" s="24">
        <f>IF(ABS(E14)&lt;=$K$14,"一致","不一致")</f>
        <v/>
      </c>
      <c r="G14" s="36">
        <f>標準科目対応!F59+標準科目対応!F60+標準科目対応!F64+標準科目対応!F65</f>
        <v/>
      </c>
      <c r="H14" s="36">
        <f>標準科目対応!F66</f>
        <v/>
      </c>
      <c r="I14" s="37">
        <f>G14-H14</f>
        <v/>
      </c>
      <c r="J14" s="24">
        <f>IF(ABS(I14)&lt;=$K$14,"一致","不一致")</f>
        <v/>
      </c>
      <c r="K14" s="38" t="n">
        <v>4</v>
      </c>
    </row>
    <row r="15" ht="15" customHeight="1" s="21">
      <c r="A15" s="23" t="inlineStr">
        <is>
          <t>BS内訳</t>
        </is>
      </c>
      <c r="B15" s="27" t="inlineStr">
        <is>
          <t>純資産合計</t>
        </is>
      </c>
      <c r="C15" s="36">
        <f>標準科目対応!E66+標準科目対応!E67</f>
        <v/>
      </c>
      <c r="D15" s="36">
        <f>標準科目対応!E68</f>
        <v/>
      </c>
      <c r="E15" s="37">
        <f>C15-D15</f>
        <v/>
      </c>
      <c r="F15" s="24">
        <f>IF(ABS(E15)&lt;=$K$15,"一致","不一致")</f>
        <v/>
      </c>
      <c r="G15" s="36">
        <f>標準科目対応!F66+標準科目対応!F67</f>
        <v/>
      </c>
      <c r="H15" s="36">
        <f>標準科目対応!F68</f>
        <v/>
      </c>
      <c r="I15" s="37">
        <f>G15-H15</f>
        <v/>
      </c>
      <c r="J15" s="24">
        <f>IF(ABS(I15)&lt;=$K$15,"一致","不一致")</f>
        <v/>
      </c>
      <c r="K15" s="38" t="n">
        <v>2</v>
      </c>
    </row>
    <row r="16" ht="15" customHeight="1" s="21">
      <c r="A16" s="27" t="inlineStr">
        <is>
          <t>貸借一致</t>
        </is>
      </c>
      <c r="B16" s="27" t="inlineStr">
        <is>
          <t>負債合計＋純資産合計＝負債純資産合計</t>
        </is>
      </c>
      <c r="C16" s="36">
        <f>標準科目対応!E58+標準科目対応!E68</f>
        <v/>
      </c>
      <c r="D16" s="36">
        <f>標準科目対応!E69</f>
        <v/>
      </c>
      <c r="E16" s="37">
        <f>C16-D16</f>
        <v/>
      </c>
      <c r="F16" s="24">
        <f>IF(ABS(E16)&lt;=$K$16,"一致","不一致")</f>
        <v/>
      </c>
      <c r="G16" s="36">
        <f>標準科目対応!F58+標準科目対応!F68</f>
        <v/>
      </c>
      <c r="H16" s="36">
        <f>標準科目対応!F69</f>
        <v/>
      </c>
      <c r="I16" s="37">
        <f>G16-H16</f>
        <v/>
      </c>
      <c r="J16" s="24">
        <f>IF(ABS(I16)&lt;=$K$16,"一致","不一致")</f>
        <v/>
      </c>
      <c r="K16" s="38" t="n">
        <v>2</v>
      </c>
    </row>
    <row r="17" ht="15" customHeight="1" s="21">
      <c r="A17" s="27" t="inlineStr">
        <is>
          <t>貸借一致</t>
        </is>
      </c>
      <c r="B17" s="27" t="inlineStr">
        <is>
          <t>資産合計＝負債純資産合計</t>
        </is>
      </c>
      <c r="C17" s="36">
        <f>標準科目対応!E34</f>
        <v/>
      </c>
      <c r="D17" s="36">
        <f>標準科目対応!E69</f>
        <v/>
      </c>
      <c r="E17" s="37">
        <f>C17-D17</f>
        <v/>
      </c>
      <c r="F17" s="24">
        <f>IF(ABS(E17)&lt;=$K$17,"一致","不一致")</f>
        <v/>
      </c>
      <c r="G17" s="36">
        <f>標準科目対応!F34</f>
        <v/>
      </c>
      <c r="H17" s="36">
        <f>標準科目対応!F69</f>
        <v/>
      </c>
      <c r="I17" s="37">
        <f>G17-H17</f>
        <v/>
      </c>
      <c r="J17" s="24">
        <f>IF(ABS(I17)&lt;=$K$17,"一致","不一致")</f>
        <v/>
      </c>
      <c r="K17" s="38" t="n">
        <v>2</v>
      </c>
    </row>
    <row r="18" ht="15" customHeight="1" s="21">
      <c r="A18" s="23" t="inlineStr">
        <is>
          <t>PL段階利益</t>
        </is>
      </c>
      <c r="B18" s="27" t="inlineStr">
        <is>
          <t>売上総利益</t>
        </is>
      </c>
      <c r="C18" s="36">
        <f>標準科目対応!E70-標準科目対応!E71</f>
        <v/>
      </c>
      <c r="D18" s="36">
        <f>標準科目対応!E72</f>
        <v/>
      </c>
      <c r="E18" s="37">
        <f>C18-D18</f>
        <v/>
      </c>
      <c r="F18" s="24">
        <f>IF(ABS(E18)&lt;=$K$18,"一致","不一致")</f>
        <v/>
      </c>
      <c r="G18" s="36">
        <f>標準科目対応!F70-標準科目対応!F71</f>
        <v/>
      </c>
      <c r="H18" s="36">
        <f>標準科目対応!F72</f>
        <v/>
      </c>
      <c r="I18" s="37">
        <f>G18-H18</f>
        <v/>
      </c>
      <c r="J18" s="24">
        <f>IF(ABS(I18)&lt;=$K$18,"一致","不一致")</f>
        <v/>
      </c>
      <c r="K18" s="38" t="n">
        <v>2</v>
      </c>
    </row>
    <row r="19" ht="15" customHeight="1" s="21">
      <c r="A19" s="23" t="inlineStr">
        <is>
          <t>PL段階利益</t>
        </is>
      </c>
      <c r="B19" s="27" t="inlineStr">
        <is>
          <t>販管費合計</t>
        </is>
      </c>
      <c r="C19" s="36">
        <f>標準科目対応!E73+標準科目対応!E74</f>
        <v/>
      </c>
      <c r="D19" s="36">
        <f>標準科目対応!E75</f>
        <v/>
      </c>
      <c r="E19" s="37">
        <f>C19-D19</f>
        <v/>
      </c>
      <c r="F19" s="24">
        <f>IF(ABS(E19)&lt;=$K$19,"一致","不一致")</f>
        <v/>
      </c>
      <c r="G19" s="36">
        <f>標準科目対応!F73+標準科目対応!F74</f>
        <v/>
      </c>
      <c r="H19" s="36">
        <f>標準科目対応!F75</f>
        <v/>
      </c>
      <c r="I19" s="37">
        <f>G19-H19</f>
        <v/>
      </c>
      <c r="J19" s="24">
        <f>IF(ABS(I19)&lt;=$K$19,"一致","不一致")</f>
        <v/>
      </c>
      <c r="K19" s="38" t="n">
        <v>2</v>
      </c>
    </row>
    <row r="20" ht="15" customHeight="1" s="21">
      <c r="A20" s="23" t="inlineStr">
        <is>
          <t>PL段階利益</t>
        </is>
      </c>
      <c r="B20" s="27" t="inlineStr">
        <is>
          <t>営業利益</t>
        </is>
      </c>
      <c r="C20" s="36">
        <f>標準科目対応!E72-標準科目対応!E75</f>
        <v/>
      </c>
      <c r="D20" s="36">
        <f>標準科目対応!E76</f>
        <v/>
      </c>
      <c r="E20" s="37">
        <f>C20-D20</f>
        <v/>
      </c>
      <c r="F20" s="24">
        <f>IF(ABS(E20)&lt;=$K$20,"一致","不一致")</f>
        <v/>
      </c>
      <c r="G20" s="36">
        <f>標準科目対応!F72-標準科目対応!F75</f>
        <v/>
      </c>
      <c r="H20" s="36">
        <f>標準科目対応!F76</f>
        <v/>
      </c>
      <c r="I20" s="37">
        <f>G20-H20</f>
        <v/>
      </c>
      <c r="J20" s="24">
        <f>IF(ABS(I20)&lt;=$K$20,"一致","不一致")</f>
        <v/>
      </c>
      <c r="K20" s="38" t="n">
        <v>2</v>
      </c>
    </row>
    <row r="21" ht="15" customHeight="1" s="21">
      <c r="A21" s="23" t="inlineStr">
        <is>
          <t>PL段階利益</t>
        </is>
      </c>
      <c r="B21" s="27" t="inlineStr">
        <is>
          <t>営業外収益合計</t>
        </is>
      </c>
      <c r="C21" s="36">
        <f>標準科目対応!E77+標準科目対応!E78+標準科目対応!E79</f>
        <v/>
      </c>
      <c r="D21" s="36">
        <f>標準科目対応!E80</f>
        <v/>
      </c>
      <c r="E21" s="37">
        <f>C21-D21</f>
        <v/>
      </c>
      <c r="F21" s="24">
        <f>IF(ABS(E21)&lt;=$K$21,"一致","不一致")</f>
        <v/>
      </c>
      <c r="G21" s="36">
        <f>標準科目対応!F77+標準科目対応!F78+標準科目対応!F79</f>
        <v/>
      </c>
      <c r="H21" s="36">
        <f>標準科目対応!F80</f>
        <v/>
      </c>
      <c r="I21" s="37">
        <f>G21-H21</f>
        <v/>
      </c>
      <c r="J21" s="24">
        <f>IF(ABS(I21)&lt;=$K$21,"一致","不一致")</f>
        <v/>
      </c>
      <c r="K21" s="38" t="n">
        <v>3</v>
      </c>
    </row>
    <row r="22" ht="15" customHeight="1" s="21">
      <c r="A22" s="23" t="inlineStr">
        <is>
          <t>PL段階利益</t>
        </is>
      </c>
      <c r="B22" s="27" t="inlineStr">
        <is>
          <t>営業外費用合計</t>
        </is>
      </c>
      <c r="C22" s="36">
        <f>標準科目対応!E81+標準科目対応!E82+標準科目対応!E83+標準科目対応!E84</f>
        <v/>
      </c>
      <c r="D22" s="36">
        <f>標準科目対応!E85</f>
        <v/>
      </c>
      <c r="E22" s="37">
        <f>C22-D22</f>
        <v/>
      </c>
      <c r="F22" s="24">
        <f>IF(ABS(E22)&lt;=$K$22,"一致","不一致")</f>
        <v/>
      </c>
      <c r="G22" s="36">
        <f>標準科目対応!F81+標準科目対応!F82+標準科目対応!F83+標準科目対応!F84</f>
        <v/>
      </c>
      <c r="H22" s="36">
        <f>標準科目対応!F85</f>
        <v/>
      </c>
      <c r="I22" s="37">
        <f>G22-H22</f>
        <v/>
      </c>
      <c r="J22" s="24">
        <f>IF(ABS(I22)&lt;=$K$22,"一致","不一致")</f>
        <v/>
      </c>
      <c r="K22" s="38" t="n">
        <v>4</v>
      </c>
    </row>
    <row r="23" ht="15" customHeight="1" s="21">
      <c r="A23" s="23" t="inlineStr">
        <is>
          <t>PL段階利益</t>
        </is>
      </c>
      <c r="B23" s="27" t="inlineStr">
        <is>
          <t>経常利益</t>
        </is>
      </c>
      <c r="C23" s="36">
        <f>標準科目対応!E76+標準科目対応!E80-標準科目対応!E85</f>
        <v/>
      </c>
      <c r="D23" s="36">
        <f>標準科目対応!E86</f>
        <v/>
      </c>
      <c r="E23" s="37">
        <f>C23-D23</f>
        <v/>
      </c>
      <c r="F23" s="24">
        <f>IF(ABS(E23)&lt;=$K$23,"一致","不一致")</f>
        <v/>
      </c>
      <c r="G23" s="36">
        <f>標準科目対応!F76+標準科目対応!F80-標準科目対応!F85</f>
        <v/>
      </c>
      <c r="H23" s="36">
        <f>標準科目対応!F86</f>
        <v/>
      </c>
      <c r="I23" s="37">
        <f>G23-H23</f>
        <v/>
      </c>
      <c r="J23" s="24">
        <f>IF(ABS(I23)&lt;=$K$23,"一致","不一致")</f>
        <v/>
      </c>
      <c r="K23" s="38" t="n">
        <v>3</v>
      </c>
    </row>
    <row r="24" ht="15" customHeight="1" s="21">
      <c r="A24" s="23" t="inlineStr">
        <is>
          <t>PL段階利益</t>
        </is>
      </c>
      <c r="B24" s="27" t="inlineStr">
        <is>
          <t>特別利益合計</t>
        </is>
      </c>
      <c r="C24" s="36">
        <f>標準科目対応!E87+標準科目対応!E88</f>
        <v/>
      </c>
      <c r="D24" s="36">
        <f>標準科目対応!E89</f>
        <v/>
      </c>
      <c r="E24" s="37">
        <f>C24-D24</f>
        <v/>
      </c>
      <c r="F24" s="24">
        <f>IF(ABS(E24)&lt;=$K$24,"一致","不一致")</f>
        <v/>
      </c>
      <c r="G24" s="36">
        <f>標準科目対応!F87+標準科目対応!F88</f>
        <v/>
      </c>
      <c r="H24" s="36">
        <f>標準科目対応!F89</f>
        <v/>
      </c>
      <c r="I24" s="37">
        <f>G24-H24</f>
        <v/>
      </c>
      <c r="J24" s="24">
        <f>IF(ABS(I24)&lt;=$K$24,"一致","不一致")</f>
        <v/>
      </c>
      <c r="K24" s="38" t="n">
        <v>2</v>
      </c>
    </row>
    <row r="25" ht="15" customHeight="1" s="21">
      <c r="A25" s="23" t="inlineStr">
        <is>
          <t>PL段階利益</t>
        </is>
      </c>
      <c r="B25" s="27" t="inlineStr">
        <is>
          <t>特別損失合計</t>
        </is>
      </c>
      <c r="C25" s="36">
        <f>標準科目対応!E90+標準科目対応!E91+標準科目対応!E92+標準科目対応!E93+標準科目対応!E94</f>
        <v/>
      </c>
      <c r="D25" s="36">
        <f>標準科目対応!E95</f>
        <v/>
      </c>
      <c r="E25" s="37">
        <f>C25-D25</f>
        <v/>
      </c>
      <c r="F25" s="24">
        <f>IF(ABS(E25)&lt;=$K$25,"一致","不一致")</f>
        <v/>
      </c>
      <c r="G25" s="36">
        <f>標準科目対応!F90+標準科目対応!F91+標準科目対応!F92+標準科目対応!F93+標準科目対応!F94</f>
        <v/>
      </c>
      <c r="H25" s="36">
        <f>標準科目対応!F95</f>
        <v/>
      </c>
      <c r="I25" s="37">
        <f>G25-H25</f>
        <v/>
      </c>
      <c r="J25" s="24">
        <f>IF(ABS(I25)&lt;=$K$25,"一致","不一致")</f>
        <v/>
      </c>
      <c r="K25" s="38" t="n">
        <v>5</v>
      </c>
    </row>
    <row r="26" ht="15" customHeight="1" s="21">
      <c r="A26" s="23" t="inlineStr">
        <is>
          <t>PL段階利益</t>
        </is>
      </c>
      <c r="B26" s="27" t="inlineStr">
        <is>
          <t>税引前当期純利益</t>
        </is>
      </c>
      <c r="C26" s="36">
        <f>標準科目対応!E86+標準科目対応!E89-標準科目対応!E95</f>
        <v/>
      </c>
      <c r="D26" s="36">
        <f>標準科目対応!E96</f>
        <v/>
      </c>
      <c r="E26" s="37">
        <f>C26-D26</f>
        <v/>
      </c>
      <c r="F26" s="24">
        <f>IF(ABS(E26)&lt;=$K$26,"一致","不一致")</f>
        <v/>
      </c>
      <c r="G26" s="36">
        <f>標準科目対応!F86+標準科目対応!F89-標準科目対応!F95</f>
        <v/>
      </c>
      <c r="H26" s="36">
        <f>標準科目対応!F96</f>
        <v/>
      </c>
      <c r="I26" s="37">
        <f>G26-H26</f>
        <v/>
      </c>
      <c r="J26" s="24">
        <f>IF(ABS(I26)&lt;=$K$26,"一致","不一致")</f>
        <v/>
      </c>
      <c r="K26" s="38" t="n">
        <v>3</v>
      </c>
    </row>
    <row r="27" ht="15" customHeight="1" s="21">
      <c r="A27" s="23" t="inlineStr">
        <is>
          <t>PL段階利益</t>
        </is>
      </c>
      <c r="B27" s="27" t="inlineStr">
        <is>
          <t>法人税等合計</t>
        </is>
      </c>
      <c r="C27" s="36">
        <f>標準科目対応!E97+標準科目対応!E98</f>
        <v/>
      </c>
      <c r="D27" s="36">
        <f>標準科目対応!E99</f>
        <v/>
      </c>
      <c r="E27" s="37">
        <f>C27-D27</f>
        <v/>
      </c>
      <c r="F27" s="24">
        <f>IF(ABS(E27)&lt;=$K$27,"一致","不一致")</f>
        <v/>
      </c>
      <c r="G27" s="36">
        <f>標準科目対応!F97+標準科目対応!F98</f>
        <v/>
      </c>
      <c r="H27" s="36">
        <f>標準科目対応!F99</f>
        <v/>
      </c>
      <c r="I27" s="37">
        <f>G27-H27</f>
        <v/>
      </c>
      <c r="J27" s="24">
        <f>IF(ABS(I27)&lt;=$K$27,"一致","不一致")</f>
        <v/>
      </c>
      <c r="K27" s="38" t="n">
        <v>2</v>
      </c>
    </row>
    <row r="28" ht="15" customHeight="1" s="21">
      <c r="A28" s="23" t="inlineStr">
        <is>
          <t>PL段階利益</t>
        </is>
      </c>
      <c r="B28" s="27" t="inlineStr">
        <is>
          <t>当期純利益</t>
        </is>
      </c>
      <c r="C28" s="36">
        <f>標準科目対応!E96-標準科目対応!E99</f>
        <v/>
      </c>
      <c r="D28" s="36">
        <f>標準科目対応!E100</f>
        <v/>
      </c>
      <c r="E28" s="37">
        <f>C28-D28</f>
        <v/>
      </c>
      <c r="F28" s="24">
        <f>IF(ABS(E28)&lt;=$K$28,"一致","不一致")</f>
        <v/>
      </c>
      <c r="G28" s="36">
        <f>標準科目対応!F96-標準科目対応!F99</f>
        <v/>
      </c>
      <c r="H28" s="36">
        <f>標準科目対応!F100</f>
        <v/>
      </c>
      <c r="I28" s="37">
        <f>G28-H28</f>
        <v/>
      </c>
      <c r="J28" s="24">
        <f>IF(ABS(I28)&lt;=$K$28,"一致","不一致")</f>
        <v/>
      </c>
      <c r="K28" s="38" t="n">
        <v>2</v>
      </c>
    </row>
    <row r="29" ht="15" customHeight="1" s="21">
      <c r="A29" s="27" t="inlineStr">
        <is>
          <t>製造原価の流れ</t>
        </is>
      </c>
      <c r="B29" s="27" t="inlineStr">
        <is>
          <t>当期総製造費用</t>
        </is>
      </c>
      <c r="C29" s="36">
        <f>標準科目対応!E101+標準科目対応!E102+標準科目対応!E103</f>
        <v/>
      </c>
      <c r="D29" s="36">
        <f>標準科目対応!E109</f>
        <v/>
      </c>
      <c r="E29" s="37">
        <f>C29-D29</f>
        <v/>
      </c>
      <c r="F29" s="24">
        <f>IF(ABS(E29)&lt;=$K$29,"一致","不一致")</f>
        <v/>
      </c>
      <c r="G29" s="36">
        <f>標準科目対応!F101+標準科目対応!F102+標準科目対応!F103</f>
        <v/>
      </c>
      <c r="H29" s="36">
        <f>標準科目対応!F109</f>
        <v/>
      </c>
      <c r="I29" s="37">
        <f>G29-H29</f>
        <v/>
      </c>
      <c r="J29" s="24">
        <f>IF(ABS(I29)&lt;=$K$29,"一致","不一致")</f>
        <v/>
      </c>
      <c r="K29" s="38" t="n">
        <v>3</v>
      </c>
    </row>
    <row r="30" ht="15" customHeight="1" s="21">
      <c r="A30" s="27" t="inlineStr">
        <is>
          <t>製造原価の流れ</t>
        </is>
      </c>
      <c r="B30" s="27" t="inlineStr">
        <is>
          <t>当期製品製造原価</t>
        </is>
      </c>
      <c r="C30" s="36">
        <f>標準科目対応!E109+標準科目対応!E110-標準科目対応!E111</f>
        <v/>
      </c>
      <c r="D30" s="36">
        <f>標準科目対応!E112</f>
        <v/>
      </c>
      <c r="E30" s="37">
        <f>C30-D30</f>
        <v/>
      </c>
      <c r="F30" s="24">
        <f>IF(ABS(E30)&lt;=$K$30,"一致","不一致")</f>
        <v/>
      </c>
      <c r="G30" s="36">
        <f>標準科目対応!F109+標準科目対応!F110-標準科目対応!F111</f>
        <v/>
      </c>
      <c r="H30" s="36">
        <f>標準科目対応!F112</f>
        <v/>
      </c>
      <c r="I30" s="37">
        <f>G30-H30</f>
        <v/>
      </c>
      <c r="J30" s="24">
        <f>IF(ABS(I30)&lt;=$K$30,"一致","不一致")</f>
        <v/>
      </c>
      <c r="K30" s="38" t="n">
        <v>3</v>
      </c>
    </row>
    <row r="31" ht="15" customHeight="1" s="21">
      <c r="A31" s="27" t="inlineStr">
        <is>
          <t>製造原価の流れ</t>
        </is>
      </c>
      <c r="B31" s="27" t="inlineStr">
        <is>
          <t>売上原価（調整表）</t>
        </is>
      </c>
      <c r="C31" s="36">
        <f>標準科目対応!E113+標準科目対応!E112+標準科目対応!E114-標準科目対応!E115-標準科目対応!E116-標準科目対応!E117</f>
        <v/>
      </c>
      <c r="D31" s="36">
        <f>標準科目対応!E71</f>
        <v/>
      </c>
      <c r="E31" s="37">
        <f>C31-D31</f>
        <v/>
      </c>
      <c r="F31" s="24">
        <f>IF(ABS(E31)&lt;=$K$31,"一致","不一致")</f>
        <v/>
      </c>
      <c r="G31" s="36">
        <f>標準科目対応!F113+標準科目対応!F112+標準科目対応!F114-標準科目対応!F115-標準科目対応!F116-標準科目対応!F117</f>
        <v/>
      </c>
      <c r="H31" s="36">
        <f>標準科目対応!F71</f>
        <v/>
      </c>
      <c r="I31" s="37">
        <f>G31-H31</f>
        <v/>
      </c>
      <c r="J31" s="24">
        <f>IF(ABS(I31)&lt;=$K$31,"一致","不一致")</f>
        <v/>
      </c>
      <c r="K31" s="38" t="n">
        <v>6</v>
      </c>
    </row>
    <row r="32" ht="15" customHeight="1" s="21">
      <c r="A32" s="27" t="inlineStr">
        <is>
          <t>主要経営指標との照合</t>
        </is>
      </c>
      <c r="B32" s="27" t="inlineStr">
        <is>
          <t>売上高</t>
        </is>
      </c>
      <c r="C32" s="36">
        <f>標準科目対応!E70</f>
        <v/>
      </c>
      <c r="D32" s="36">
        <f>標準科目対応!E120</f>
        <v/>
      </c>
      <c r="E32" s="37">
        <f>C32-D32</f>
        <v/>
      </c>
      <c r="F32" s="24">
        <f>IF(ABS(E32)&lt;=$K$32,"一致","不一致")</f>
        <v/>
      </c>
      <c r="G32" s="36">
        <f>標準科目対応!F70</f>
        <v/>
      </c>
      <c r="H32" s="36">
        <f>標準科目対応!F120</f>
        <v/>
      </c>
      <c r="I32" s="37">
        <f>G32-H32</f>
        <v/>
      </c>
      <c r="J32" s="24">
        <f>IF(ABS(I32)&lt;=$K$32,"一致","不一致")</f>
        <v/>
      </c>
      <c r="K32" s="38" t="n">
        <v>2</v>
      </c>
    </row>
    <row r="33" ht="15" customHeight="1" s="21">
      <c r="A33" s="27" t="inlineStr">
        <is>
          <t>主要経営指標との照合</t>
        </is>
      </c>
      <c r="B33" s="27" t="inlineStr">
        <is>
          <t>当期純利益</t>
        </is>
      </c>
      <c r="C33" s="36">
        <f>標準科目対応!E100</f>
        <v/>
      </c>
      <c r="D33" s="36">
        <f>標準科目対応!E121</f>
        <v/>
      </c>
      <c r="E33" s="37">
        <f>C33-D33</f>
        <v/>
      </c>
      <c r="F33" s="24">
        <f>IF(ABS(E33)&lt;=$K$33,"一致","不一致")</f>
        <v/>
      </c>
      <c r="G33" s="36">
        <f>標準科目対応!F100</f>
        <v/>
      </c>
      <c r="H33" s="36">
        <f>標準科目対応!F121</f>
        <v/>
      </c>
      <c r="I33" s="37">
        <f>G33-H33</f>
        <v/>
      </c>
      <c r="J33" s="24">
        <f>IF(ABS(I33)&lt;=$K$33,"一致","不一致")</f>
        <v/>
      </c>
      <c r="K33" s="38" t="n">
        <v>2</v>
      </c>
    </row>
    <row r="34" ht="15" customHeight="1" s="21">
      <c r="A34" s="27" t="inlineStr">
        <is>
          <t>主要経営指標との照合</t>
        </is>
      </c>
      <c r="B34" s="27" t="inlineStr">
        <is>
          <t>純資産額</t>
        </is>
      </c>
      <c r="C34" s="36">
        <f>標準科目対応!E68</f>
        <v/>
      </c>
      <c r="D34" s="36">
        <f>標準科目対応!E122</f>
        <v/>
      </c>
      <c r="E34" s="37">
        <f>C34-D34</f>
        <v/>
      </c>
      <c r="F34" s="24">
        <f>IF(ABS(E34)&lt;=$K$34,"一致","不一致")</f>
        <v/>
      </c>
      <c r="G34" s="36">
        <f>標準科目対応!F68</f>
        <v/>
      </c>
      <c r="H34" s="36">
        <f>標準科目対応!F122</f>
        <v/>
      </c>
      <c r="I34" s="37">
        <f>G34-H34</f>
        <v/>
      </c>
      <c r="J34" s="24">
        <f>IF(ABS(I34)&lt;=$K$34,"一致","不一致")</f>
        <v/>
      </c>
      <c r="K34" s="38" t="n">
        <v>2</v>
      </c>
    </row>
    <row r="35" ht="15" customHeight="1" s="21">
      <c r="A35" s="27" t="inlineStr">
        <is>
          <t>主要経営指標との照合</t>
        </is>
      </c>
      <c r="B35" s="27" t="inlineStr">
        <is>
          <t>総資産額</t>
        </is>
      </c>
      <c r="C35" s="36">
        <f>標準科目対応!E34</f>
        <v/>
      </c>
      <c r="D35" s="36">
        <f>標準科目対応!E123</f>
        <v/>
      </c>
      <c r="E35" s="37">
        <f>C35-D35</f>
        <v/>
      </c>
      <c r="F35" s="24">
        <f>IF(ABS(E35)&lt;=$K$35,"一致","不一致")</f>
        <v/>
      </c>
      <c r="G35" s="36">
        <f>標準科目対応!F34</f>
        <v/>
      </c>
      <c r="H35" s="36">
        <f>標準科目対応!F123</f>
        <v/>
      </c>
      <c r="I35" s="37">
        <f>G35-H35</f>
        <v/>
      </c>
      <c r="J35" s="24">
        <f>IF(ABS(I35)&lt;=$K$35,"一致","不一致")</f>
        <v/>
      </c>
      <c r="K35" s="38" t="n">
        <v>2</v>
      </c>
    </row>
    <row r="36" ht="15" customHeight="1" s="21">
      <c r="A36" s="27" t="inlineStr">
        <is>
          <t>表間の連携</t>
        </is>
      </c>
      <c r="B36" s="23" t="inlineStr">
        <is>
          <t>BS仕掛品（当期末）＝製造原価の期末仕掛品</t>
        </is>
      </c>
      <c r="C36" s="34" t="inlineStr">
        <is>
          <t>（対象外）</t>
        </is>
      </c>
      <c r="D36" s="34" t="inlineStr">
        <is>
          <t>（対象外）</t>
        </is>
      </c>
      <c r="E36" s="34" t="inlineStr">
        <is>
          <t>（対象外）</t>
        </is>
      </c>
      <c r="F36" s="34" t="inlineStr">
        <is>
          <t>（対象外）</t>
        </is>
      </c>
      <c r="G36" s="36">
        <f>標準科目対応!F6</f>
        <v/>
      </c>
      <c r="H36" s="36">
        <f>標準科目対応!F111</f>
        <v/>
      </c>
      <c r="I36" s="37">
        <f>G36-H36</f>
        <v/>
      </c>
      <c r="J36" s="24">
        <f>IF(ABS(I36)&lt;=$K$36,"一致","不一致")</f>
        <v/>
      </c>
      <c r="K36" s="38" t="n">
        <v>2</v>
      </c>
    </row>
    <row r="37" ht="15" customHeight="1" s="21">
      <c r="A37" s="27" t="inlineStr">
        <is>
          <t>表間の連携</t>
        </is>
      </c>
      <c r="B37" s="23" t="inlineStr">
        <is>
          <t>BS商品及び製品（当期末）＝期末製品＋期末商品</t>
        </is>
      </c>
      <c r="C37" s="34" t="inlineStr">
        <is>
          <t>（対象外）</t>
        </is>
      </c>
      <c r="D37" s="34" t="inlineStr">
        <is>
          <t>（対象外）</t>
        </is>
      </c>
      <c r="E37" s="34" t="inlineStr">
        <is>
          <t>（対象外）</t>
        </is>
      </c>
      <c r="F37" s="34" t="inlineStr">
        <is>
          <t>（対象外）</t>
        </is>
      </c>
      <c r="G37" s="36">
        <f>標準科目対応!F5</f>
        <v/>
      </c>
      <c r="H37" s="36">
        <f>標準科目対応!F116+標準科目対応!F117</f>
        <v/>
      </c>
      <c r="I37" s="37">
        <f>G37-H37</f>
        <v/>
      </c>
      <c r="J37" s="24">
        <f>IF(ABS(I37)&lt;=$K$37,"一致","不一致")</f>
        <v/>
      </c>
      <c r="K37" s="38" t="n">
        <v>2</v>
      </c>
    </row>
    <row r="38" ht="15" customHeight="1" s="21">
      <c r="A38" s="27" t="inlineStr">
        <is>
          <t>前期末と当期首</t>
        </is>
      </c>
      <c r="B38" s="27" t="inlineStr">
        <is>
          <t>期首製品（当期）＝BS商品及び製品（前期末）</t>
        </is>
      </c>
      <c r="C38" s="34" t="inlineStr">
        <is>
          <t>（対象外）</t>
        </is>
      </c>
      <c r="D38" s="34" t="inlineStr">
        <is>
          <t>（対象外）</t>
        </is>
      </c>
      <c r="E38" s="34" t="inlineStr">
        <is>
          <t>（対象外）</t>
        </is>
      </c>
      <c r="F38" s="34" t="inlineStr">
        <is>
          <t>（対象外）</t>
        </is>
      </c>
      <c r="G38" s="36">
        <f>標準科目対応!F113</f>
        <v/>
      </c>
      <c r="H38" s="36">
        <f>標準科目対応!E5</f>
        <v/>
      </c>
      <c r="I38" s="37">
        <f>G38-H38</f>
        <v/>
      </c>
      <c r="J38" s="24">
        <f>IF(ABS(I38)&lt;=$K$38,"一致","不一致")</f>
        <v/>
      </c>
      <c r="K38" s="38" t="n">
        <v>2</v>
      </c>
    </row>
    <row r="39" ht="15" customHeight="1" s="21">
      <c r="A39" s="27" t="inlineStr">
        <is>
          <t>前期末と当期首</t>
        </is>
      </c>
      <c r="B39" s="27" t="inlineStr">
        <is>
          <t>期首仕掛品（当期）＝BS仕掛品（前期末）</t>
        </is>
      </c>
      <c r="C39" s="34" t="inlineStr">
        <is>
          <t>（対象外）</t>
        </is>
      </c>
      <c r="D39" s="34" t="inlineStr">
        <is>
          <t>（対象外）</t>
        </is>
      </c>
      <c r="E39" s="34" t="inlineStr">
        <is>
          <t>（対象外）</t>
        </is>
      </c>
      <c r="F39" s="34" t="inlineStr">
        <is>
          <t>（対象外）</t>
        </is>
      </c>
      <c r="G39" s="36">
        <f>標準科目対応!F110</f>
        <v/>
      </c>
      <c r="H39" s="36">
        <f>標準科目対応!E6</f>
        <v/>
      </c>
      <c r="I39" s="37">
        <f>G39-H39</f>
        <v/>
      </c>
      <c r="J39" s="24">
        <f>IF(ABS(I39)&lt;=$K$39,"一致","不一致")</f>
        <v/>
      </c>
      <c r="K39" s="38" t="n">
        <v>2</v>
      </c>
    </row>
    <row r="40" ht="15" customHeight="1" s="21">
      <c r="A40" s="27" t="inlineStr">
        <is>
          <t>前期末と当期首</t>
        </is>
      </c>
      <c r="B40" s="27" t="inlineStr">
        <is>
          <t>繰越利益剰余金：前期末＋純利益−配当−別途積立＝当期末</t>
        </is>
      </c>
      <c r="C40" s="34" t="inlineStr">
        <is>
          <t>（対象外）</t>
        </is>
      </c>
      <c r="D40" s="34" t="inlineStr">
        <is>
          <t>（対象外）</t>
        </is>
      </c>
      <c r="E40" s="34" t="inlineStr">
        <is>
          <t>（対象外）</t>
        </is>
      </c>
      <c r="F40" s="34" t="inlineStr">
        <is>
          <t>（対象外）</t>
        </is>
      </c>
      <c r="G40" s="36">
        <f>標準科目対応!E63+標準科目対応!F100-標準科目対応!F118-標準科目対応!F119</f>
        <v/>
      </c>
      <c r="H40" s="36">
        <f>標準科目対応!F63</f>
        <v/>
      </c>
      <c r="I40" s="37">
        <f>G40-H40</f>
        <v/>
      </c>
      <c r="J40" s="24">
        <f>IF(ABS(I40)&lt;=$K$40,"一致","不一致")</f>
        <v/>
      </c>
      <c r="K40" s="38" t="n">
        <v>2</v>
      </c>
    </row>
    <row r="41" ht="15" customHeight="1" s="21">
      <c r="A41" s="27" t="inlineStr">
        <is>
          <t>前期末と当期首</t>
        </is>
      </c>
      <c r="B41" s="27" t="inlineStr">
        <is>
          <t>別途積立金：前期末＋積立＝当期末</t>
        </is>
      </c>
      <c r="C41" s="34" t="inlineStr">
        <is>
          <t>（対象外）</t>
        </is>
      </c>
      <c r="D41" s="34" t="inlineStr">
        <is>
          <t>（対象外）</t>
        </is>
      </c>
      <c r="E41" s="34" t="inlineStr">
        <is>
          <t>（対象外）</t>
        </is>
      </c>
      <c r="F41" s="34" t="inlineStr">
        <is>
          <t>（対象外）</t>
        </is>
      </c>
      <c r="G41" s="36">
        <f>標準科目対応!E62+標準科目対応!F119</f>
        <v/>
      </c>
      <c r="H41" s="36">
        <f>標準科目対応!F62</f>
        <v/>
      </c>
      <c r="I41" s="37">
        <f>G41-H41</f>
        <v/>
      </c>
      <c r="J41" s="24">
        <f>IF(ABS(I41)&lt;=$K$41,"一致","不一致")</f>
        <v/>
      </c>
      <c r="K41" s="38" t="n">
        <v>2</v>
      </c>
    </row>
    <row r="42"/>
    <row r="43" ht="15" customHeight="1" s="21">
      <c r="A43" s="24" t="inlineStr">
        <is>
          <t>総合判定</t>
        </is>
      </c>
      <c r="B43" s="24">
        <f>IF(COUNTIF(F4:F41,"不一致")+COUNTIF(J4:J41,"不一致")=0,"全項目一致：次工程へ進める","不一致あり：論争に進まず停止")</f>
        <v/>
      </c>
    </row>
    <row r="44" ht="15" customHeight="1" s="21">
      <c r="A44" s="24" t="inlineStr">
        <is>
          <t>不一致件数</t>
        </is>
      </c>
      <c r="B44" s="24">
        <f>COUNTIF(F4:F41,"不一致")+COUNTIF(J4:J41,"不一致")</f>
        <v/>
      </c>
    </row>
    <row r="45" ht="15" customHeight="1" s="21">
      <c r="A45" s="24" t="inlineStr">
        <is>
          <t>端数差の件数</t>
        </is>
      </c>
      <c r="B45" s="23">
        <f>COUNTIFS(E4:E41,"&lt;&gt;0",F4:F41,"一致")+COUNTIFS(I4:I41,"&lt;&gt;0",J4:J41,"一致")</f>
        <v/>
      </c>
      <c r="C45" s="34" t="inlineStr">
        <is>
          <t>許容範囲内で差が出た件数（切捨て端数による）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20" min="1" max="1"/>
    <col width="42" customWidth="1" style="20" min="2" max="3"/>
    <col width="40" customWidth="1" style="20" min="4" max="4"/>
  </cols>
  <sheetData>
    <row r="1" ht="15" customHeight="1" s="21">
      <c r="A1" s="39" t="inlineStr">
        <is>
          <t>標準科目</t>
        </is>
      </c>
      <c r="B1" s="39" t="inlineStr">
        <is>
          <t>原資料での状況</t>
        </is>
      </c>
      <c r="C1" s="39" t="inlineStr">
        <is>
          <t>システムの扱い</t>
        </is>
      </c>
      <c r="D1" s="39" t="inlineStr">
        <is>
          <t>論争での意味</t>
        </is>
      </c>
    </row>
    <row r="2" ht="15" customHeight="1" s="21">
      <c r="A2" s="25" t="inlineStr">
        <is>
          <t>支払手形</t>
        </is>
      </c>
      <c r="B2" s="25" t="inlineStr">
        <is>
          <t>該当なし</t>
        </is>
      </c>
      <c r="C2" s="40" t="inlineStr">
        <is>
          <t>0として扱う（該当なしと明示）</t>
        </is>
      </c>
      <c r="D2" s="40" t="n"/>
    </row>
    <row r="3" ht="15" customHeight="1" s="21">
      <c r="A3" s="25" t="inlineStr">
        <is>
          <t>短期借入金</t>
        </is>
      </c>
      <c r="B3" s="25" t="inlineStr">
        <is>
          <t>該当なし</t>
        </is>
      </c>
      <c r="C3" s="40" t="inlineStr">
        <is>
          <t>0として扱う</t>
        </is>
      </c>
      <c r="D3" s="40" t="n"/>
    </row>
    <row r="4" ht="15" customHeight="1" s="21">
      <c r="A4" s="25" t="inlineStr">
        <is>
          <t>短期貸付金</t>
        </is>
      </c>
      <c r="B4" s="25" t="inlineStr">
        <is>
          <t>該当なし</t>
        </is>
      </c>
      <c r="C4" s="40" t="inlineStr">
        <is>
          <t>0として扱う</t>
        </is>
      </c>
      <c r="D4" s="40" t="n"/>
    </row>
    <row r="5" ht="15" customHeight="1" s="21">
      <c r="A5" s="25" t="inlineStr">
        <is>
          <t>役員借入金</t>
        </is>
      </c>
      <c r="B5" s="25" t="inlineStr">
        <is>
          <t>該当なし</t>
        </is>
      </c>
      <c r="C5" s="40" t="inlineStr">
        <is>
          <t>0として扱う</t>
        </is>
      </c>
      <c r="D5" s="25" t="inlineStr">
        <is>
          <t>中小企業では社長個人との混在を示す重要科目</t>
        </is>
      </c>
    </row>
    <row r="6" ht="26.85" customHeight="1" s="21">
      <c r="A6" s="25" t="inlineStr">
        <is>
          <t>未収入金・仮払金</t>
        </is>
      </c>
      <c r="B6" s="25" t="inlineStr">
        <is>
          <t>流動資産『その他』212,878に埋没</t>
        </is>
      </c>
      <c r="C6" s="25" t="inlineStr">
        <is>
          <t>埋没：データ請求（中小企業なら勘定科目内訳明細書で判明）</t>
        </is>
      </c>
      <c r="D6" s="25" t="inlineStr">
        <is>
          <t>仮払金の滞留は資金の私的流用の兆候になりうる</t>
        </is>
      </c>
    </row>
    <row r="7" ht="15" customHeight="1" s="21">
      <c r="A7" s="25" t="inlineStr">
        <is>
          <t>保険積立金</t>
        </is>
      </c>
      <c r="B7" s="25" t="inlineStr">
        <is>
          <t>投資その他『その他』198,610に埋没の可能性</t>
        </is>
      </c>
      <c r="C7" s="25" t="inlineStr">
        <is>
          <t>埋没：データ請求</t>
        </is>
      </c>
      <c r="D7" s="40" t="n"/>
    </row>
    <row r="8" ht="15" customHeight="1" s="21">
      <c r="A8" s="25" t="inlineStr">
        <is>
          <t>外注加工費</t>
        </is>
      </c>
      <c r="B8" s="25" t="inlineStr">
        <is>
          <t>製造経費の主な内訳に記載なし</t>
        </is>
      </c>
      <c r="C8" s="25" t="inlineStr">
        <is>
          <t>未確認：ゼロか少額かを請求で確認</t>
        </is>
      </c>
      <c r="D8" s="25" t="inlineStr">
        <is>
          <t>生産の外部依存度の手がかり</t>
        </is>
      </c>
    </row>
    <row r="9" ht="26.85" customHeight="1" s="21">
      <c r="A9" s="25" t="inlineStr">
        <is>
          <t>材料費の内訳（原料米・副材料・包装資材）</t>
        </is>
      </c>
      <c r="B9" s="25" t="inlineStr">
        <is>
          <t>材料費10,453,980の一括表示</t>
        </is>
      </c>
      <c r="C9" s="25" t="inlineStr">
        <is>
          <t>埋没：データ請求</t>
        </is>
      </c>
      <c r="D9" s="25" t="inlineStr">
        <is>
          <t>原料米高騰の影響を分離する決め手</t>
        </is>
      </c>
    </row>
    <row r="10" ht="39.55" customHeight="1" s="21">
      <c r="A10" s="25" t="inlineStr">
        <is>
          <t>販管費の細目（役員報酬・給料手当・荷造運賃・広告宣伝費・販売促進費・交際費ほか）</t>
        </is>
      </c>
      <c r="B10" s="25" t="inlineStr">
        <is>
          <t>販売費／一般管理費の二区分のみ。連結注記は発送配達費・給料及び手当・賞与引当金繰入額・退職給付費用の4費目</t>
        </is>
      </c>
      <c r="C10" s="25" t="inlineStr">
        <is>
          <t>未確認：単体注記（p.98以降）を追加で読み取る。なお欠ける費目はデータ請求</t>
        </is>
      </c>
      <c r="D10" s="40" t="inlineStr">
        <is>
          <t>4Pの販売促進・流通を論じる材料。広告宣伝費と販売促進費が最大の欠落</t>
        </is>
      </c>
    </row>
    <row r="11" ht="26.85" customHeight="1" s="21">
      <c r="A11" s="25" t="inlineStr">
        <is>
          <t>労務費の内訳（正社員・臨時・外国人材等）</t>
        </is>
      </c>
      <c r="B11" s="25" t="inlineStr">
        <is>
          <t>労務費4,156,690の一括表示</t>
        </is>
      </c>
      <c r="C11" s="25" t="inlineStr">
        <is>
          <t>埋没：データ請求</t>
        </is>
      </c>
      <c r="D11" s="40" t="n"/>
    </row>
    <row r="12" ht="15" customHeight="1" s="21">
      <c r="A12" s="25" t="inlineStr">
        <is>
          <t>月別売上</t>
        </is>
      </c>
      <c r="B12" s="25" t="inlineStr">
        <is>
          <t>有価証券報告書にはなし</t>
        </is>
      </c>
      <c r="C12" s="25" t="inlineStr">
        <is>
          <t>中小企業なら法人事業概況説明書で取得</t>
        </is>
      </c>
      <c r="D12" s="25" t="inlineStr">
        <is>
          <t>季節変動（年末商戦など）の把握</t>
        </is>
      </c>
    </row>
    <row r="13" ht="26.85" customHeight="1" s="21">
      <c r="A13" s="25" t="inlineStr">
        <is>
          <t>得意先別売上</t>
        </is>
      </c>
      <c r="B13" s="25" t="inlineStr">
        <is>
          <t>連結ベースで主要4社の販売実績あり（p.23）</t>
        </is>
      </c>
      <c r="C13" s="25" t="inlineStr">
        <is>
          <t>上場企業では別情報として取り込み可。中小企業では売掛金の内訳明細が手がかり</t>
        </is>
      </c>
      <c r="D13" s="25" t="inlineStr">
        <is>
          <t>取引先依存度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2026-09-23T05:25:18Z</dcterms:created>
  <dcterms:modified xmlns:dcterms="http://purl.org/dc/terms/" xmlns:xsi="http://www.w3.org/2001/XMLSchema-instance" xsi:type="dcterms:W3CDTF">2026-09-29T06:11:40Z</dcterms:modified>
  <cp:revision>0</cp:revision>
</cp:coreProperties>
</file>